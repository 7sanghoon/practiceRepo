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Users\차태미\Desktop\"/>
    </mc:Choice>
  </mc:AlternateContent>
  <xr:revisionPtr revIDLastSave="0" documentId="13_ncr:1_{E5B899E7-5647-4E4D-8660-65CA60584817}" xr6:coauthVersionLast="46" xr6:coauthVersionMax="46" xr10:uidLastSave="{00000000-0000-0000-0000-000000000000}"/>
  <bookViews>
    <workbookView xWindow="28680" yWindow="-120" windowWidth="28110" windowHeight="164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Schedule!$D$1:$AE$53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2" l="1"/>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AE2" i="2" a="1"/>
  <c r="AE1"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<sst xmlns="http://schemas.openxmlformats.org/spreadsheetml/2006/main" count="3118" uniqueCount="1570">
  <si>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</si>
  <si>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</si>
  <si>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</si>
  <si>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</si>
  <si>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</si>
  <si>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</si>
  <si>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</si>
  <si>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</si>
  <si>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</si>
  <si>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</si>
  <si>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</si>
  <si>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</si>
  <si>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</si>
  <si>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</si>
  <si>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</si>
  <si>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</si>
  <si>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</si>
  <si>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</si>
  <si>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</si>
  <si>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</si>
  <si>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</si>
  <si>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</si>
  <si>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</si>
  <si>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</si>
  <si>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</si>
  <si>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</si>
  <si>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</si>
  <si>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</si>
  <si>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</si>
  <si>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</si>
  <si>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</si>
  <si>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</si>
  <si>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</si>
  <si>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</si>
  <si>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</si>
  <si>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</si>
  <si>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</si>
  <si>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</si>
  <si>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</si>
  <si>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</si>
  <si>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</si>
  <si>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</si>
  <si>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</si>
  <si>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</si>
  <si>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</si>
  <si>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</si>
  <si>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</si>
  <si>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</si>
  <si>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</si>
  <si>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</si>
  <si>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</si>
  <si>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</si>
  <si>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</si>
  <si>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</si>
  <si>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</si>
  <si>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</si>
  <si>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</si>
  <si>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</si>
  <si>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</si>
  <si>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</si>
  <si>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</si>
  <si>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</si>
  <si>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</si>
  <si>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</si>
  <si>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</si>
  <si>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</si>
  <si>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</si>
  <si>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</si>
  <si>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</si>
  <si>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</si>
  <si>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</si>
  <si>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</si>
  <si>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</si>
  <si>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</si>
  <si>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</si>
  <si>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</si>
  <si>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</si>
  <si>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</si>
  <si>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</si>
  <si>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</si>
  <si>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</si>
  <si>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</si>
  <si>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</si>
  <si>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</si>
  <si>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</si>
  <si>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</si>
  <si>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</si>
  <si>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</si>
  <si>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</si>
  <si>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</si>
  <si>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</si>
  <si>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</si>
  <si>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</si>
  <si>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</si>
  <si>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</si>
  <si>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</si>
  <si>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</si>
  <si>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</si>
  <si>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</si>
  <si>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</si>
  <si>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</si>
  <si>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</si>
  <si>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</si>
  <si>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</si>
  <si>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</si>
  <si>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</si>
  <si>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</si>
  <si>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</si>
  <si>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</si>
  <si>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</si>
  <si>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</si>
  <si>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</si>
  <si>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</si>
  <si>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</si>
  <si>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</si>
  <si>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</si>
  <si>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</si>
  <si>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</si>
  <si>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</si>
  <si>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</si>
  <si>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</si>
  <si>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</si>
  <si>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</si>
  <si>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</si>
  <si>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</si>
  <si>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</si>
  <si>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</si>
  <si>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</si>
  <si>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</si>
  <si>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</si>
  <si>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</si>
  <si>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</si>
  <si>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</si>
  <si>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</si>
  <si>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</si>
  <si>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</si>
  <si>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</si>
  <si>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</si>
  <si>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</si>
  <si>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</si>
  <si>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</si>
  <si>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</si>
  <si>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</si>
  <si>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</si>
  <si>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</si>
  <si>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</si>
  <si>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</si>
  <si>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</si>
  <si>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</si>
  <si>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</si>
  <si>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</si>
  <si>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</si>
  <si>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</si>
  <si>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</si>
  <si>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</si>
  <si>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</si>
  <si>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</si>
  <si>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</si>
  <si>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</si>
  <si>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</si>
  <si>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</si>
  <si>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</si>
  <si>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</si>
  <si>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</si>
  <si>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</si>
  <si>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</si>
  <si>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</si>
  <si>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</si>
  <si>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</si>
  <si>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</si>
  <si>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</si>
  <si>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</si>
  <si>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</si>
  <si>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</si>
  <si>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</si>
  <si>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</si>
  <si>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</si>
  <si>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</si>
  <si>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</si>
  <si>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</si>
  <si>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</si>
  <si>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</si>
  <si>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</si>
  <si>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</si>
  <si>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</si>
  <si>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</si>
  <si>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</si>
  <si>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</si>
  <si>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</si>
  <si>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</si>
  <si>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</si>
  <si>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</si>
  <si>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</si>
  <si>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</si>
  <si>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</si>
  <si>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</si>
  <si>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</si>
  <si>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</si>
  <si>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</si>
  <si>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</si>
  <si>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</si>
  <si>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</si>
  <si>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</si>
  <si>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</si>
  <si>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</si>
  <si>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</si>
  <si>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</si>
  <si>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</si>
  <si>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</si>
  <si>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</si>
  <si>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</si>
  <si>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</si>
  <si>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</si>
  <si>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</si>
  <si>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</si>
  <si>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</si>
  <si>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</si>
  <si>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</si>
  <si>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</si>
  <si>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</si>
  <si>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</si>
  <si>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</si>
  <si>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</si>
  <si>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</si>
  <si>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</si>
  <si>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</si>
  <si>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</si>
  <si>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</si>
  <si>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</si>
  <si>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</si>
  <si>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</si>
  <si>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</si>
  <si>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</si>
  <si>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</si>
  <si>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</si>
  <si>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</si>
  <si>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</si>
  <si>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</si>
  <si>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</si>
  <si>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</si>
  <si>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</si>
  <si>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</si>
  <si>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</si>
  <si>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</si>
  <si>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</si>
  <si>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</si>
  <si>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</si>
  <si>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</si>
  <si>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</si>
  <si>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</si>
  <si>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</si>
  <si>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</si>
  <si>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</si>
  <si>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</si>
  <si>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</si>
  <si>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</si>
  <si>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</si>
  <si>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</si>
  <si>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</si>
  <si>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</si>
  <si>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</si>
  <si>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</si>
  <si>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</si>
  <si>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</si>
  <si>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</si>
  <si>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</si>
  <si>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</si>
  <si>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</si>
  <si>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</si>
  <si>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</si>
  <si>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</si>
  <si>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</si>
  <si>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</si>
  <si>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</si>
  <si>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</si>
  <si>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</si>
  <si>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</si>
  <si>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</si>
  <si>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</si>
  <si>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</si>
  <si>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</si>
  <si>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</si>
  <si>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</si>
  <si>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</si>
  <si>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</si>
  <si>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</si>
  <si>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</si>
  <si>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</si>
  <si>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</si>
  <si>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</si>
  <si>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</si>
  <si>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</si>
  <si>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</si>
  <si>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</si>
  <si>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</si>
  <si>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</si>
  <si>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</si>
  <si>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</si>
  <si>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</si>
  <si>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</si>
  <si>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</si>
  <si>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</si>
  <si>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</si>
  <si>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</si>
  <si>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</si>
  <si>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</si>
  <si>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</si>
  <si>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</si>
  <si>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</si>
  <si>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</si>
  <si>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</si>
  <si>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</si>
  <si>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</si>
  <si>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</si>
  <si>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</si>
  <si>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</si>
  <si>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</si>
  <si>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</si>
  <si>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</si>
  <si>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</si>
  <si>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</si>
  <si>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</si>
  <si>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</si>
  <si>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</si>
  <si>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</si>
  <si>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</si>
  <si>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</si>
  <si>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</si>
  <si>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</si>
  <si>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</si>
  <si>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</si>
  <si>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</si>
  <si>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</si>
  <si>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</si>
  <si>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</si>
  <si>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</si>
  <si>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</si>
  <si>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</si>
  <si>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</si>
  <si>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</si>
  <si>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</si>
  <si>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</si>
  <si>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</si>
  <si>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</si>
  <si>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</si>
  <si>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</si>
  <si>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</si>
  <si>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</si>
  <si>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</si>
  <si>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</si>
  <si>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</si>
  <si>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</si>
  <si>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</si>
  <si>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</si>
  <si>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</si>
  <si>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</si>
  <si>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</si>
  <si>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</si>
  <si>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</si>
  <si>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</si>
  <si>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</si>
  <si>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</si>
  <si>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</si>
  <si>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</si>
  <si>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</si>
  <si>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</si>
  <si>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</si>
  <si>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</si>
  <si>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</si>
  <si>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</si>
  <si>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</si>
  <si>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</si>
  <si>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</si>
  <si>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</si>
  <si>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</si>
  <si>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</si>
  <si>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</si>
  <si>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</si>
  <si>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</si>
  <si>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</si>
  <si>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</si>
  <si>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</si>
  <si>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</si>
  <si>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</si>
  <si>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</si>
  <si>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</si>
  <si>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</si>
  <si>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</si>
  <si>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</si>
  <si>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</si>
  <si>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</si>
  <si>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</si>
  <si>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</si>
  <si>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</si>
  <si>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</si>
  <si>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</si>
  <si>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</si>
  <si>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</si>
  <si>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</si>
  <si>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</si>
  <si>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</si>
  <si>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</si>
  <si>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</si>
  <si>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</si>
  <si>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</si>
  <si>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</si>
  <si>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</si>
  <si>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</si>
  <si>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</si>
  <si>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</si>
  <si>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</si>
  <si>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</si>
  <si>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</si>
  <si>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</si>
  <si>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</si>
  <si>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</si>
  <si>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</si>
  <si>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</si>
  <si>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</si>
  <si>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</si>
  <si>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</si>
  <si>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</si>
  <si>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</si>
  <si>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</si>
  <si>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</si>
  <si>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</si>
  <si>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</si>
  <si>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</si>
  <si>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</si>
  <si>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</si>
  <si>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</si>
  <si>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</si>
  <si>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</si>
  <si>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</si>
  <si>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</si>
  <si>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</si>
  <si>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</si>
  <si>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</si>
  <si>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</si>
  <si>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</si>
  <si>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</si>
  <si>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</si>
  <si>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</si>
  <si>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</si>
  <si>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</si>
  <si>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</si>
  <si>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</si>
  <si>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</si>
  <si>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</si>
  <si>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</si>
  <si>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</si>
  <si>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</si>
  <si>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</si>
  <si>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</si>
  <si>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</si>
  <si>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</si>
  <si>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</si>
  <si>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</si>
  <si>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</si>
  <si>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</si>
  <si>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</si>
  <si>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</si>
  <si>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</si>
  <si>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</si>
  <si>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</si>
  <si>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</si>
  <si>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</si>
  <si>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</si>
  <si>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</si>
  <si>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</si>
  <si>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</si>
  <si>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</si>
  <si>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</si>
  <si>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</si>
  <si>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</si>
  <si>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</si>
  <si>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</si>
  <si>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</si>
  <si>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</si>
  <si>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</si>
  <si>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</si>
  <si>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</si>
  <si>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</si>
  <si>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</si>
  <si>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</si>
  <si>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</si>
  <si>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</si>
  <si>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</si>
  <si>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</si>
  <si>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</si>
  <si>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</si>
  <si>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</si>
  <si>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</si>
  <si>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</si>
  <si>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</si>
  <si>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</si>
  <si>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</si>
  <si>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</si>
  <si>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</si>
  <si>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</si>
  <si>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</si>
  <si>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</si>
  <si>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</si>
  <si>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</si>
  <si>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</si>
  <si>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</si>
  <si>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</si>
  <si>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</si>
  <si>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</si>
  <si>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</si>
  <si>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</si>
  <si>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</si>
  <si>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</si>
  <si>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</si>
  <si>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</si>
  <si>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</si>
  <si>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</si>
  <si>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</si>
  <si>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</si>
  <si>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</si>
  <si>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</si>
  <si>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</si>
  <si>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</si>
  <si>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</si>
  <si>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</si>
  <si>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</si>
  <si>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</si>
  <si>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</si>
  <si>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</si>
  <si>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</si>
  <si>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</si>
  <si>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</si>
  <si>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</si>
  <si>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</si>
  <si>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</si>
  <si>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</si>
  <si>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</si>
  <si>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</si>
  <si>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</si>
  <si>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</si>
  <si>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</si>
  <si>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</si>
  <si>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</si>
  <si>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</si>
  <si>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</si>
  <si>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</si>
  <si>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</si>
  <si>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</si>
  <si>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</si>
  <si>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</si>
  <si>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</si>
  <si>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</si>
  <si>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</si>
  <si>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</si>
  <si>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</si>
  <si>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</si>
  <si>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</si>
  <si>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</si>
  <si>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</si>
  <si>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</si>
  <si>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</si>
  <si>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</si>
  <si>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</si>
  <si>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</si>
  <si>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</si>
  <si>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</si>
  <si>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</si>
  <si>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</si>
  <si>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</si>
  <si>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</si>
  <si>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</si>
  <si>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</si>
  <si>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</si>
  <si>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</si>
  <si>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</si>
  <si>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</si>
  <si>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</si>
  <si>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</si>
  <si>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</si>
  <si>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</si>
  <si>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</si>
  <si>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</si>
  <si>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</si>
  <si>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</si>
  <si>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</si>
  <si>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</si>
  <si>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</si>
  <si>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</si>
  <si>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</si>
  <si>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</si>
  <si>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</si>
  <si>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</si>
  <si>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</si>
  <si>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</si>
  <si>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</si>
  <si>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</si>
  <si>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</si>
  <si>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</si>
  <si>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</si>
  <si>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</si>
  <si>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</si>
  <si>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</si>
  <si>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</si>
  <si>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</si>
  <si>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</si>
  <si>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</si>
  <si>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</si>
  <si>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</si>
  <si>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</si>
  <si>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</si>
  <si>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</si>
  <si>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</si>
  <si>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</si>
  <si>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</si>
  <si>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</si>
  <si>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</si>
  <si>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</si>
  <si>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</si>
  <si>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</si>
  <si>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</si>
  <si>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</si>
  <si>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</si>
  <si>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</si>
  <si>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</si>
  <si>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</si>
  <si>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</si>
  <si>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</si>
  <si>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</si>
  <si>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</si>
  <si>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</si>
  <si>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</si>
  <si>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</si>
  <si>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</si>
  <si>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</si>
  <si>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</si>
  <si>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</si>
  <si>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</si>
  <si>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</si>
  <si>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</si>
  <si>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</si>
  <si>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</si>
  <si>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</si>
  <si>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</si>
  <si>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</si>
  <si>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</si>
  <si>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</si>
  <si>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</si>
  <si>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</si>
  <si>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</si>
  <si>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</si>
  <si>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</si>
  <si>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</si>
  <si>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</si>
  <si>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</si>
  <si>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</si>
  <si>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</si>
  <si>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</si>
  <si>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</si>
  <si>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</si>
  <si>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</si>
  <si>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</si>
  <si>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</si>
  <si>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</si>
  <si>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</si>
  <si>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</si>
  <si>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</si>
  <si>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</si>
  <si>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</si>
  <si>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</si>
  <si>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</si>
  <si>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</si>
  <si>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</si>
  <si>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</si>
  <si>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</si>
  <si>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</si>
  <si>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</si>
  <si>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</si>
  <si>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</si>
  <si>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</si>
  <si>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</si>
  <si>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</si>
  <si>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</si>
  <si>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</si>
  <si>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</si>
  <si>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</si>
  <si>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</si>
  <si>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</si>
  <si>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</si>
  <si>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</si>
  <si>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</si>
  <si>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</si>
  <si>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</si>
  <si>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</si>
  <si>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</si>
  <si>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</si>
  <si>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</si>
  <si>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</si>
  <si>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</si>
  <si>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</si>
  <si>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</si>
  <si>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</si>
  <si>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</si>
  <si>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</si>
  <si>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</si>
  <si>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</si>
  <si>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</si>
  <si>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</si>
  <si>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</si>
  <si>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</si>
  <si>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</si>
  <si>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</si>
  <si>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</si>
  <si>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</si>
  <si>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</si>
  <si>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</si>
  <si>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</si>
  <si>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</si>
  <si>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</si>
  <si>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</si>
  <si>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</si>
  <si>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</si>
  <si>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</si>
  <si>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</si>
  <si>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</si>
  <si>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</si>
  <si>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</si>
  <si>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</si>
  <si>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</si>
  <si>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</si>
  <si>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</si>
  <si>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</si>
  <si>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</si>
  <si>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</si>
  <si>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</si>
  <si>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</si>
  <si>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</si>
  <si>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</si>
  <si>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</si>
  <si>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</si>
  <si>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</si>
  <si>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</si>
  <si>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</si>
  <si>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</si>
  <si>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</si>
  <si>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</si>
  <si>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</si>
  <si>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</si>
  <si>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</si>
  <si>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</si>
  <si>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</si>
  <si>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</si>
  <si>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</si>
  <si>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</si>
  <si>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</si>
  <si>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</si>
  <si>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</si>
  <si>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</si>
  <si>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</si>
  <si>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</si>
  <si>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</si>
  <si>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</si>
  <si>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</si>
  <si>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</si>
  <si>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</si>
  <si>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</si>
  <si>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</si>
  <si>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</si>
  <si>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</si>
  <si>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</si>
  <si>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</si>
  <si>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</si>
  <si>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</si>
  <si>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</si>
  <si>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</si>
  <si>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</si>
  <si>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</si>
  <si>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</si>
  <si>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</si>
  <si>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</si>
  <si>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</si>
  <si>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</si>
  <si>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</si>
  <si>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</si>
  <si>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</si>
  <si>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</si>
  <si>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</si>
  <si>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</si>
  <si>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</si>
  <si>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</si>
  <si>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</si>
  <si>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</si>
  <si>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</si>
  <si>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</si>
  <si>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</si>
  <si>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</si>
  <si>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</si>
  <si>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</si>
  <si>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</si>
  <si>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</si>
  <si>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</si>
  <si>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</si>
  <si>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</si>
  <si>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</si>
  <si>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</si>
  <si>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</si>
  <si>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</si>
  <si>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</si>
  <si>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</si>
  <si>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</si>
  <si>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</si>
  <si>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</si>
  <si>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</si>
  <si>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</si>
  <si>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</si>
  <si>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</si>
  <si>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</si>
  <si>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</si>
  <si>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</si>
  <si>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</si>
  <si>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</si>
  <si>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</si>
  <si>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</si>
  <si>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</si>
  <si>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</si>
  <si>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</si>
  <si>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</si>
  <si>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</si>
  <si>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</si>
  <si>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</si>
  <si>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</si>
  <si>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</si>
  <si>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</si>
  <si>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</si>
  <si>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</si>
  <si>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</si>
  <si>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</si>
  <si>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</si>
  <si>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</si>
  <si>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</si>
  <si>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</si>
  <si>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</si>
  <si>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</si>
  <si>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</si>
  <si>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</si>
  <si>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</si>
  <si>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</si>
  <si>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</si>
  <si>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</si>
  <si>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</si>
  <si>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</si>
  <si>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</si>
  <si>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</si>
  <si>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</si>
  <si>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</si>
  <si>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</si>
  <si>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</si>
  <si>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</si>
  <si>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</si>
  <si>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</si>
  <si>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</si>
  <si>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</si>
  <si>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</si>
  <si>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</si>
  <si>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</si>
  <si>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</si>
  <si>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</si>
  <si>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</si>
  <si>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</si>
  <si>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</si>
  <si>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</si>
  <si>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</si>
  <si>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</si>
  <si>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</si>
  <si>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</si>
  <si>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</si>
  <si>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</si>
  <si>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</si>
  <si>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</si>
  <si>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</si>
  <si>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</si>
  <si>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</si>
  <si>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</si>
  <si>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</si>
  <si>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</si>
  <si>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</si>
  <si>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</si>
  <si>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</si>
  <si>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</si>
  <si>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</si>
  <si>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</si>
  <si>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</si>
  <si>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</si>
  <si>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</si>
  <si>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</si>
  <si>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</si>
  <si>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</si>
  <si>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</si>
  <si>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</si>
  <si>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</si>
  <si>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</si>
  <si>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</si>
  <si>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</si>
  <si>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</si>
  <si>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</si>
  <si>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</si>
  <si>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</si>
  <si>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</si>
  <si>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</si>
  <si>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</si>
  <si>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</si>
  <si>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</si>
  <si>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</si>
  <si>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</si>
  <si>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</si>
  <si>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</si>
  <si>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</si>
  <si>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</si>
  <si>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</si>
  <si>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</si>
  <si>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</si>
  <si>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</si>
  <si>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</si>
  <si>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</si>
  <si>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</si>
  <si>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</si>
  <si>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</si>
  <si>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</si>
  <si>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</si>
  <si>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</si>
  <si>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</si>
  <si>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</si>
  <si>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</si>
  <si>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</si>
  <si>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</si>
  <si>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</si>
  <si>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</si>
  <si>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</si>
  <si>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</si>
  <si>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</si>
  <si>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</si>
  <si>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</si>
  <si>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</si>
  <si>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</si>
  <si>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</si>
  <si>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</si>
  <si>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</si>
  <si>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</si>
  <si>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</si>
  <si>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</si>
  <si>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</si>
  <si>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</si>
  <si>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</si>
  <si>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</si>
  <si>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</si>
  <si>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</si>
  <si>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</si>
  <si>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</si>
  <si>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</si>
  <si>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</si>
  <si>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</si>
  <si>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</si>
  <si>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</si>
  <si>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</si>
  <si>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</si>
  <si>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</si>
  <si>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</si>
  <si>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</si>
  <si>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</si>
  <si>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</si>
  <si>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</si>
  <si>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</si>
  <si>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</si>
  <si>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</si>
  <si>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</si>
  <si>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</si>
  <si>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</si>
  <si>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</si>
  <si>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</si>
  <si>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</si>
  <si>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</si>
  <si>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</si>
  <si>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</si>
  <si>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</si>
  <si>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</si>
  <si>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</si>
  <si>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</si>
  <si>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</si>
  <si>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</si>
  <si>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</si>
  <si>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</si>
  <si>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</si>
  <si>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</si>
  <si>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</si>
  <si>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</si>
  <si>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</si>
  <si>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</si>
  <si>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</si>
  <si>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</si>
  <si>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</si>
  <si>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</si>
  <si>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</si>
  <si>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</si>
  <si>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</si>
  <si>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</si>
  <si>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</si>
  <si>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</si>
  <si>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</si>
  <si>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</si>
  <si>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</si>
  <si>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</si>
  <si>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</si>
  <si>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</si>
  <si>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</si>
  <si>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</si>
  <si>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</si>
  <si>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</si>
  <si>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</si>
  <si>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</si>
  <si>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</si>
  <si>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</si>
  <si>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</si>
  <si>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</si>
  <si>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</si>
  <si>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</si>
  <si>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</si>
  <si>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</si>
  <si>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</si>
  <si>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</si>
  <si>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</si>
  <si>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</si>
  <si>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</si>
  <si>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</si>
  <si>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</si>
  <si>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</si>
  <si>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</si>
  <si>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</si>
  <si>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</si>
  <si>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</si>
  <si>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</si>
  <si>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</si>
  <si>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</si>
  <si>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</si>
  <si>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</si>
  <si>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</si>
  <si>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</si>
  <si>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</si>
  <si>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</si>
  <si>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</si>
  <si>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</si>
  <si>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</si>
  <si>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</si>
  <si>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</si>
  <si>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</si>
  <si>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</si>
  <si>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</si>
  <si>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</si>
  <si>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</si>
  <si>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</si>
  <si>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</si>
  <si>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</si>
  <si>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</si>
  <si>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</si>
  <si>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</si>
  <si>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</si>
  <si>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</si>
  <si>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</si>
  <si>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</si>
  <si>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</si>
  <si>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</si>
  <si>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</si>
  <si>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</si>
  <si>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</si>
  <si>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</si>
  <si>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</si>
  <si>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</si>
  <si>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</si>
  <si>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</si>
  <si>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</si>
  <si>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</si>
  <si>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</si>
  <si>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</si>
  <si>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</si>
  <si>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</si>
  <si>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</si>
  <si>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</si>
  <si>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</si>
  <si>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</si>
  <si>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</si>
  <si>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</si>
  <si>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</si>
  <si>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</si>
  <si>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</si>
  <si>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</si>
  <si>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</si>
  <si>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</si>
  <si>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</si>
  <si>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</si>
  <si>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</si>
  <si>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</si>
  <si>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</si>
  <si>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</si>
  <si>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</si>
  <si>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</si>
  <si>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</si>
  <si>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</si>
  <si>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</si>
  <si>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</si>
  <si>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</si>
  <si>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</si>
  <si>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</si>
  <si>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</si>
  <si>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</si>
  <si>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</si>
  <si>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</si>
  <si>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</si>
  <si>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</si>
  <si>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</si>
  <si>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</si>
  <si>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</si>
  <si>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</si>
  <si>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</si>
  <si>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</si>
  <si>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</si>
  <si>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</si>
  <si>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</si>
  <si>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</si>
  <si>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</si>
  <si>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</si>
  <si>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</si>
  <si>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</si>
  <si>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</si>
  <si>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</si>
  <si>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</si>
  <si>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</si>
  <si>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</si>
  <si>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</si>
  <si>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</si>
  <si>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</si>
  <si>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</si>
  <si>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</si>
  <si>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</si>
  <si>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</si>
  <si>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</si>
  <si>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</si>
  <si>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</si>
  <si>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</si>
  <si>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</si>
  <si>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</si>
  <si>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</si>
  <si>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</si>
  <si>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</si>
  <si>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</si>
  <si>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</si>
  <si>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</si>
  <si>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</si>
  <si>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</si>
  <si>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</si>
  <si>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</si>
  <si>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</si>
  <si>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</si>
  <si>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</si>
  <si>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</si>
  <si>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</si>
  <si>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</si>
  <si>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</si>
  <si>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</si>
  <si>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</si>
  <si>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</si>
  <si>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</si>
  <si>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</si>
  <si>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</si>
  <si>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</si>
  <si>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</si>
  <si>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</si>
  <si>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</si>
  <si>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</si>
  <si>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</si>
  <si>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</si>
  <si>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</si>
  <si>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</si>
  <si>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</si>
  <si>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</si>
  <si>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</si>
  <si>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</si>
  <si>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</si>
  <si>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</si>
  <si>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</si>
  <si>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</si>
  <si>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</si>
  <si>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</si>
  <si>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</si>
  <si>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</si>
  <si>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</si>
  <si>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</si>
  <si>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</si>
  <si>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</si>
  <si>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</si>
  <si>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</si>
  <si>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</si>
  <si>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</si>
  <si>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</si>
  <si>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</si>
  <si>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</si>
  <si>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</si>
  <si>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</si>
  <si>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</si>
  <si>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</si>
  <si>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</si>
  <si>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</si>
  <si>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</si>
  <si>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</si>
  <si>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</si>
  <si>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</si>
  <si>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</si>
  <si>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</si>
  <si>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</si>
  <si>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</si>
  <si>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</si>
  <si>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</si>
  <si>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</si>
  <si>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</si>
  <si>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</si>
  <si>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</si>
  <si>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</si>
  <si>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</si>
  <si>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</si>
  <si>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</si>
  <si>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</si>
  <si>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</si>
  <si>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</si>
  <si>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</si>
  <si>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</si>
  <si>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</si>
  <si>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</si>
  <si>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</si>
  <si>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</si>
  <si>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</si>
  <si>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</si>
  <si>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</si>
  <si>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</si>
  <si>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</si>
  <si>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</si>
  <si>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</si>
  <si>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</si>
  <si>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</si>
  <si>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</si>
  <si>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</si>
  <si>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</si>
  <si>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</si>
  <si>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</si>
  <si>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</si>
  <si>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</si>
  <si>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</si>
  <si>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</si>
  <si>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</si>
  <si>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</si>
  <si>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</si>
  <si>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</si>
  <si>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</si>
  <si>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</si>
  <si>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</si>
  <si>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</si>
  <si>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</si>
  <si>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</si>
  <si>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</si>
  <si>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</si>
  <si>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</si>
  <si>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</si>
  <si>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</si>
  <si>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</si>
  <si>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</si>
  <si>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</si>
  <si>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</si>
  <si>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</si>
  <si>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</si>
  <si>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</si>
  <si>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</si>
  <si>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</si>
  <si>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</si>
  <si>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</si>
  <si>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</si>
  <si>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</si>
  <si>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</si>
  <si>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</si>
  <si>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</si>
  <si>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</si>
  <si>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</si>
  <si>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</si>
  <si>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</si>
  <si>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</si>
  <si>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</si>
  <si>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</si>
  <si>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</si>
  <si>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</si>
  <si>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</si>
  <si>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</si>
  <si>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</si>
  <si>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</si>
  <si>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</si>
  <si>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</si>
  <si>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</si>
  <si>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</si>
  <si>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</si>
  <si>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</si>
  <si>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</si>
  <si>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</si>
  <si>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</si>
  <si>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</si>
  <si>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</si>
  <si>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</si>
  <si>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</si>
  <si>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</si>
  <si>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</si>
  <si>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</si>
  <si>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</si>
  <si>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</si>
  <si>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</si>
  <si>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</si>
  <si>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</si>
  <si>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</si>
  <si>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</si>
  <si>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</si>
  <si>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</si>
  <si>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</si>
  <si>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</si>
  <si>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</si>
  <si>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</si>
  <si>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</si>
  <si>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</si>
  <si>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</si>
  <si>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</si>
  <si>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</si>
  <si>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</si>
  <si>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</si>
  <si>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</si>
  <si>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</si>
  <si>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</si>
  <si>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</si>
  <si>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</si>
  <si>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</si>
  <si>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착수</t>
  </si>
  <si>
    <t>이지은</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</si>
  <si>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</si>
  <si>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</si>
  <si>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</si>
  <si>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</si>
  <si>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</si>
  <si>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</si>
  <si>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</si>
  <si>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</si>
  <si>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</si>
  <si>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</si>
  <si>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</si>
  <si>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</si>
  <si>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</si>
  <si>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</si>
  <si>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</si>
  <si>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</si>
  <si>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</si>
  <si>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</si>
  <si>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</si>
  <si>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</si>
  <si>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</si>
  <si>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</si>
  <si>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</si>
  <si>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</si>
  <si>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</si>
  <si>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</si>
  <si>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</si>
  <si>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</si>
  <si>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</si>
  <si>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</si>
  <si>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</si>
  <si>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</si>
  <si>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</si>
  <si>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</si>
  <si>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</si>
  <si>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</si>
  <si>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</si>
  <si>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</si>
  <si>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</si>
  <si>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</si>
  <si>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</si>
  <si>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</si>
  <si>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</si>
  <si>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</si>
  <si>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</si>
  <si>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</si>
  <si>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</si>
  <si>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</si>
  <si>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</si>
  <si>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</si>
  <si>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</si>
  <si>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</si>
  <si>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</si>
  <si>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W9</t>
  </si>
  <si>
    <t>W13</t>
  </si>
  <si>
    <t>W17</t>
  </si>
  <si>
    <t>W21</t>
  </si>
  <si>
    <t>2.1</t>
  </si>
  <si>
    <t>2.2</t>
  </si>
  <si>
    <t>2.3</t>
  </si>
  <si>
    <t>2.4</t>
  </si>
  <si>
    <t>김분석</t>
  </si>
  <si>
    <t>박설계</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</si>
  <si>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</si>
  <si>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</si>
  <si>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</si>
  <si>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</si>
  <si>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</si>
  <si>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</si>
  <si>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</si>
  <si>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</si>
  <si>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</si>
  <si>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</si>
  <si>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</si>
  <si>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</si>
  <si>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</si>
  <si>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</si>
  <si>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</si>
  <si>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</si>
  <si>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</si>
  <si>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</si>
  <si>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</si>
  <si>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</si>
  <si>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</si>
  <si>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</si>
  <si>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</si>
  <si>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</si>
  <si>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</si>
  <si>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</si>
  <si>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</si>
  <si>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</si>
  <si>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</si>
  <si>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</si>
  <si>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</si>
  <si>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</si>
  <si>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</si>
  <si>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</si>
  <si>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</si>
  <si>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</si>
  <si>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</si>
  <si>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</si>
  <si>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</si>
  <si>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</si>
  <si>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</si>
  <si>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</si>
  <si>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</si>
  <si>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</si>
  <si>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</si>
  <si>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</si>
  <si>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</si>
  <si>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</si>
  <si>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</si>
  <si>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</si>
  <si>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</si>
  <si>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</si>
  <si>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</si>
  <si>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</si>
  <si>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</si>
  <si>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</si>
  <si>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</si>
  <si>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</si>
  <si>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</si>
  <si>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</si>
  <si>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</si>
  <si>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</si>
  <si>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</si>
  <si>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</si>
  <si>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</si>
  <si>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</si>
  <si>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</si>
  <si>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</si>
  <si>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</si>
  <si>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</si>
  <si>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</si>
  <si>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</si>
  <si>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</si>
  <si>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</si>
  <si>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</si>
  <si>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</si>
  <si>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</si>
  <si>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</si>
  <si>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</si>
  <si>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</si>
  <si>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</si>
  <si>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</si>
  <si>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</si>
  <si>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</si>
  <si>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</si>
  <si>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</si>
  <si>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</si>
  <si>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</si>
  <si>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</si>
  <si>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</si>
  <si>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</si>
  <si>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</si>
  <si>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</si>
  <si>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</si>
  <si>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</si>
  <si>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</si>
  <si>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</si>
  <si>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</si>
  <si>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</si>
  <si>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</si>
  <si>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</si>
  <si>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</si>
  <si>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</si>
  <si>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</si>
  <si>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</si>
  <si>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</si>
  <si>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</si>
  <si>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</si>
  <si>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</si>
  <si>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</si>
  <si>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</si>
  <si>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</si>
  <si>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</si>
  <si>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</si>
  <si>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</si>
  <si>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</si>
  <si>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</si>
  <si>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</si>
  <si>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</si>
  <si>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</si>
  <si>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</si>
  <si>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</si>
  <si>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</si>
  <si>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</si>
  <si>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</si>
  <si>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t>TODAY</t>
    <phoneticPr fontId="2" type="noConversion"/>
  </si>
  <si>
    <t>12/20
W52</t>
  </si>
  <si>
    <t>2021
W4</t>
  </si>
  <si>
    <t>02/14
W8</t>
  </si>
  <si>
    <t>03/14
W12</t>
  </si>
  <si>
    <t>04/11
W16</t>
  </si>
  <si>
    <t>05/09
W20</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</si>
  <si>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</si>
  <si>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</si>
  <si>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</si>
  <si>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</si>
  <si>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</si>
  <si>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</si>
  <si>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</si>
  <si>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</si>
  <si>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</si>
  <si>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</si>
  <si>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</si>
  <si>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</si>
  <si>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</si>
  <si>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</si>
  <si>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</si>
  <si>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</si>
  <si>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</si>
  <si>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</si>
  <si>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Workload현황(주별)</t>
  </si>
  <si>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</si>
  <si>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</si>
  <si>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</si>
  <si>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</si>
  <si>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</si>
  <si>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</si>
  <si>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</si>
  <si>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</si>
  <si>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</si>
  <si>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결재시스템 구축</t>
    <phoneticPr fontId="2" type="noConversion"/>
  </si>
  <si>
    <t>06/06
W24</t>
  </si>
  <si>
    <t>W25</t>
  </si>
  <si>
    <t>이상훈</t>
  </si>
  <si>
    <t>시스템 기회</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</si>
</sst>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1">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sz val="11"/>
      <name val="Arial Narrow"/>
      <family val="2"/>
    </font>
    <font>
      <b/>
      <sz val="10"/>
      <color theme="10"/>
      <name val="Calibri"/>
      <family val="2"/>
    </font>
    <font>
      <b/>
      <sz val="10"/>
      <color theme="10"/>
      <name val="Malgun Gothic"/>
      <family val="3"/>
      <charset val="129"/>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0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5" xfId="4" applyFont="1" applyFill="1" applyBorder="1" applyAlignment="1" applyProtection="1">
      <alignment vertical="top"/>
      <protection locked="0"/>
    </xf>
    <xf numFmtId="0" fontId="23" fillId="0" borderId="25" xfId="4" quotePrefix="1"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6" applyNumberFormat="1" applyFont="1" applyFill="1" applyBorder="1" applyAlignment="1" applyProtection="1">
      <alignment horizontal="right" vertical="top" wrapText="1"/>
      <protection locked="0"/>
    </xf>
    <xf numFmtId="10" fontId="23" fillId="0" borderId="25" xfId="6" applyNumberFormat="1" applyFont="1" applyFill="1" applyBorder="1" applyAlignment="1" applyProtection="1">
      <alignment horizontal="right" vertical="top"/>
      <protection locked="0"/>
    </xf>
    <xf numFmtId="0" fontId="23" fillId="0" borderId="23"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4" xfId="4" applyFont="1" applyFill="1" applyBorder="1" applyAlignment="1" applyProtection="1">
      <alignment vertical="top"/>
      <protection locked="0"/>
    </xf>
    <xf numFmtId="0" fontId="23" fillId="0" borderId="24" xfId="4" applyFont="1" applyFill="1" applyBorder="1" applyAlignment="1" applyProtection="1">
      <alignment horizontal="right" vertical="top"/>
      <protection locked="0"/>
    </xf>
    <xf numFmtId="0" fontId="23" fillId="0" borderId="24" xfId="4" applyFont="1" applyFill="1" applyBorder="1" applyAlignment="1" applyProtection="1">
      <alignment horizontal="left" vertical="top"/>
      <protection locked="0"/>
    </xf>
    <xf numFmtId="14" fontId="23" fillId="0" borderId="24" xfId="4" applyNumberFormat="1" applyFont="1" applyFill="1" applyBorder="1" applyAlignment="1" applyProtection="1">
      <alignment horizontal="center" vertical="top"/>
      <protection locked="0"/>
    </xf>
    <xf numFmtId="0" fontId="23" fillId="0" borderId="24" xfId="4" applyNumberFormat="1" applyFont="1" applyFill="1" applyBorder="1" applyAlignment="1" applyProtection="1">
      <alignment horizontal="left" vertical="top"/>
      <protection locked="0"/>
    </xf>
    <xf numFmtId="178" fontId="23" fillId="0" borderId="24" xfId="4" applyNumberFormat="1" applyFont="1" applyFill="1" applyBorder="1" applyAlignment="1" applyProtection="1">
      <alignment horizontal="center" vertical="top"/>
      <protection locked="0"/>
    </xf>
    <xf numFmtId="177" fontId="23" fillId="0" borderId="24" xfId="4" applyNumberFormat="1" applyFont="1" applyFill="1" applyBorder="1" applyAlignment="1" applyProtection="1">
      <alignment horizontal="center" vertical="top"/>
      <protection locked="0"/>
    </xf>
    <xf numFmtId="1" fontId="23" fillId="0" borderId="24" xfId="4" applyNumberFormat="1" applyFont="1" applyFill="1" applyBorder="1" applyAlignment="1" applyProtection="1">
      <alignment horizontal="center" vertical="top"/>
      <protection locked="0"/>
    </xf>
    <xf numFmtId="14" fontId="23" fillId="0" borderId="24" xfId="4" applyNumberFormat="1" applyFont="1" applyFill="1" applyBorder="1" applyAlignment="1" applyProtection="1">
      <alignment horizontal="left" vertical="top"/>
      <protection locked="0"/>
    </xf>
    <xf numFmtId="10" fontId="23" fillId="0" borderId="24" xfId="3" applyNumberFormat="1" applyFont="1" applyFill="1" applyBorder="1" applyAlignment="1" applyProtection="1">
      <alignment horizontal="right" vertical="top" wrapText="1"/>
      <protection locked="0"/>
    </xf>
    <xf numFmtId="10" fontId="23" fillId="0" borderId="24"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4" fontId="9" fillId="0" borderId="26" xfId="4" applyNumberFormat="1" applyFont="1" applyBorder="1"/>
    <xf numFmtId="0" fontId="9" fillId="0" borderId="26" xfId="4" applyFont="1" applyBorder="1"/>
    <xf numFmtId="0" fontId="9" fillId="0" borderId="26" xfId="4" applyNumberFormat="1" applyFont="1" applyBorder="1"/>
    <xf numFmtId="10" fontId="23" fillId="17" borderId="25"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10" fontId="37" fillId="17" borderId="25" xfId="6" applyNumberFormat="1" applyFont="1" applyFill="1" applyBorder="1" applyAlignment="1" applyProtection="1">
      <alignment horizontal="right" vertical="top"/>
      <protection locked="0"/>
    </xf>
    <xf numFmtId="10" fontId="23" fillId="20" borderId="25" xfId="6" applyNumberFormat="1" applyFont="1" applyFill="1" applyBorder="1" applyAlignment="1" applyProtection="1">
      <alignment horizontal="right" vertical="top"/>
      <protection locked="0"/>
    </xf>
    <xf numFmtId="10" fontId="37" fillId="20" borderId="25" xfId="6" applyNumberFormat="1" applyFont="1" applyFill="1" applyBorder="1" applyAlignment="1" applyProtection="1">
      <alignment horizontal="right" vertical="top"/>
      <protection locked="0"/>
    </xf>
    <xf numFmtId="10" fontId="9" fillId="0" borderId="0" xfId="4" applyNumberFormat="1" applyFont="1" applyBorder="1"/>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9" fillId="0" borderId="7" xfId="4" applyFont="1" applyBorder="1"/>
    <xf numFmtId="2" fontId="9" fillId="0" borderId="0" xfId="4" applyNumberFormat="1" applyFont="1" applyBorder="1"/>
    <xf numFmtId="2" fontId="9" fillId="0" borderId="10" xfId="4" applyNumberFormat="1" applyFont="1" applyBorder="1"/>
    <xf numFmtId="10" fontId="48" fillId="0" borderId="10" xfId="4" applyNumberFormat="1" applyFont="1" applyBorder="1"/>
    <xf numFmtId="2" fontId="9" fillId="0" borderId="26" xfId="4" applyNumberFormat="1" applyFont="1" applyBorder="1"/>
    <xf numFmtId="10" fontId="48" fillId="0" borderId="26" xfId="4" applyNumberFormat="1" applyFont="1" applyBorder="1"/>
    <xf numFmtId="0" fontId="27" fillId="21"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1" borderId="28" xfId="2" applyFont="1" applyFill="1" applyBorder="1" applyAlignment="1">
      <alignment horizontal="right"/>
    </xf>
    <xf numFmtId="0" fontId="0" fillId="21"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9" fillId="21" borderId="30" xfId="2" applyFont="1" applyFill="1" applyBorder="1" applyAlignment="1">
      <alignment vertical="center"/>
    </xf>
    <xf numFmtId="0" fontId="0" fillId="21" borderId="30" xfId="0" applyFill="1" applyBorder="1" applyAlignment="1">
      <alignment vertical="center"/>
    </xf>
    <xf numFmtId="0" fontId="34" fillId="21" borderId="27" xfId="0" applyFont="1" applyFill="1" applyBorder="1" applyAlignment="1">
      <alignment horizontal="center"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0" fontId="9" fillId="6" borderId="3" xfId="4" applyNumberFormat="1" applyFont="1" applyFill="1" applyBorder="1" applyAlignment="1">
      <alignment horizontal="left" wrapText="1"/>
    </xf>
    <xf numFmtId="10" fontId="9" fillId="0" borderId="0" xfId="4" applyNumberFormat="1" applyFont="1" applyBorder="1"/>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xf numFmtId="0" fontId="38" fillId="0" borderId="0" xfId="1" applyFont="1" applyFill="1" applyBorder="1" applyAlignment="1">
      <alignment horizontal="left" vertical="center"/>
    </xf>
    <xf numFmtId="0" fontId="38" fillId="0" borderId="0" xfId="1" applyFont="1" applyFill="1" applyBorder="1" applyAlignment="1">
      <alignment horizontal="left" vertical="center"/>
    </xf>
    <xf numFmtId="10" fontId="23" fillId="17" borderId="31" xfId="6" applyNumberFormat="1" applyFont="1" applyFill="1" applyBorder="1" applyAlignment="1" applyProtection="1">
      <alignment horizontal="right" vertical="top"/>
      <protection locked="0"/>
    </xf>
    <xf numFmtId="180" fontId="39" fillId="19" borderId="21" xfId="4" applyNumberFormat="1" applyFont="1" applyFill="1" applyBorder="1" applyAlignment="1" applyProtection="1">
      <alignment horizontal="center" vertical="center"/>
    </xf>
    <xf numFmtId="0" fontId="22" fillId="0" borderId="25" xfId="4" applyFont="1" applyFill="1" applyBorder="1" applyAlignment="1" applyProtection="1">
      <alignment horizontal="left" vertical="top"/>
      <protection locked="0"/>
    </xf>
    <xf numFmtId="14" fontId="22" fillId="0" borderId="25" xfId="4" applyNumberFormat="1" applyFont="1" applyFill="1" applyBorder="1" applyAlignment="1" applyProtection="1">
      <alignment horizontal="center" vertical="top"/>
      <protection locked="0"/>
    </xf>
    <xf numFmtId="0" fontId="22" fillId="0" borderId="25" xfId="4" applyNumberFormat="1" applyFont="1" applyFill="1" applyBorder="1" applyAlignment="1" applyProtection="1">
      <alignment horizontal="left" vertical="top"/>
      <protection locked="0"/>
    </xf>
    <xf numFmtId="178" fontId="22" fillId="0" borderId="25" xfId="4" applyNumberFormat="1" applyFont="1" applyFill="1" applyBorder="1" applyAlignment="1" applyProtection="1">
      <alignment horizontal="center" vertical="top"/>
      <protection locked="0"/>
    </xf>
    <xf numFmtId="0" fontId="22" fillId="3" borderId="25" xfId="4" quotePrefix="1" applyFont="1" applyFill="1" applyBorder="1" applyAlignment="1" applyProtection="1">
      <alignment horizontal="right" vertical="top"/>
      <protection locked="0"/>
    </xf>
    <xf numFmtId="0" fontId="22" fillId="3" borderId="25" xfId="4" applyFont="1" applyFill="1" applyBorder="1" applyAlignment="1" applyProtection="1">
      <alignment horizontal="left" vertical="top"/>
      <protection locked="0"/>
    </xf>
    <xf numFmtId="14" fontId="22" fillId="3" borderId="25" xfId="4" applyNumberFormat="1" applyFont="1" applyFill="1" applyBorder="1" applyAlignment="1" applyProtection="1">
      <alignment horizontal="center" vertical="top"/>
      <protection locked="0"/>
    </xf>
    <xf numFmtId="0" fontId="22" fillId="3" borderId="25" xfId="4" applyNumberFormat="1" applyFont="1" applyFill="1" applyBorder="1" applyAlignment="1" applyProtection="1">
      <alignment horizontal="left" vertical="top"/>
      <protection locked="0"/>
    </xf>
    <xf numFmtId="178" fontId="22" fillId="3" borderId="25" xfId="4" applyNumberFormat="1" applyFont="1" applyFill="1" applyBorder="1" applyAlignment="1" applyProtection="1">
      <alignment horizontal="center" vertical="top"/>
      <protection locked="0"/>
    </xf>
    <xf numFmtId="177" fontId="22" fillId="3" borderId="25" xfId="4" applyNumberFormat="1" applyFont="1" applyFill="1" applyBorder="1" applyAlignment="1" applyProtection="1">
      <alignment horizontal="center" vertical="top"/>
      <protection locked="0"/>
    </xf>
    <xf numFmtId="1" fontId="22" fillId="3" borderId="25" xfId="4" applyNumberFormat="1" applyFont="1" applyFill="1" applyBorder="1" applyAlignment="1" applyProtection="1">
      <alignment horizontal="center" vertical="top"/>
      <protection locked="0"/>
    </xf>
    <xf numFmtId="14" fontId="22" fillId="3" borderId="25" xfId="4" applyNumberFormat="1" applyFont="1" applyFill="1" applyBorder="1" applyAlignment="1" applyProtection="1">
      <alignment horizontal="left" vertical="top"/>
      <protection locked="0"/>
    </xf>
    <xf numFmtId="10" fontId="22" fillId="3" borderId="25" xfId="6" applyNumberFormat="1" applyFont="1" applyFill="1" applyBorder="1" applyAlignment="1" applyProtection="1">
      <alignment horizontal="right" vertical="top" wrapText="1"/>
      <protection locked="0"/>
    </xf>
    <xf numFmtId="0" fontId="23" fillId="3" borderId="25" xfId="4" quotePrefix="1" applyFont="1" applyFill="1" applyBorder="1" applyAlignment="1" applyProtection="1">
      <alignment horizontal="right" vertical="top"/>
      <protection locked="0"/>
    </xf>
    <xf numFmtId="0" fontId="23" fillId="3" borderId="25" xfId="4" applyFont="1" applyFill="1" applyBorder="1" applyAlignment="1" applyProtection="1">
      <alignment horizontal="left" vertical="top"/>
      <protection locked="0"/>
    </xf>
    <xf numFmtId="14" fontId="23" fillId="3" borderId="25" xfId="4" applyNumberFormat="1" applyFont="1" applyFill="1" applyBorder="1" applyAlignment="1" applyProtection="1">
      <alignment horizontal="center"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1408</v>
      </c>
      <c r="C6" s="72"/>
      <c r="D6" s="72"/>
      <c r="E6" s="72" t="s">
        <v>11</v>
      </c>
      <c r="F6" s="72"/>
    </row>
    <row r="7" spans="1:64">
      <c r="A7" s="71" t="s">
        <v>16</v>
      </c>
      <c r="B7" s="71" t="s">
        <v>10</v>
      </c>
      <c r="C7" s="72"/>
      <c r="D7" s="72"/>
      <c r="E7" s="72" t="s">
        <v>11</v>
      </c>
      <c r="F7" s="72"/>
    </row>
    <row r="8" spans="1:64">
      <c r="A8" s="71" t="s">
        <v>17</v>
      </c>
      <c r="B8" s="74" t="s">
        <v>1493</v>
      </c>
      <c r="C8" s="72" t="s">
        <v>1321</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1290</v>
      </c>
      <c r="D11" s="70" t="s">
        <v>23</v>
      </c>
      <c r="E11" s="79">
        <v>1</v>
      </c>
      <c r="F11" s="80" t="s">
        <v>24</v>
      </c>
      <c r="G11" s="81">
        <v>44190</v>
      </c>
      <c r="H11" s="80" t="s">
        <v>25</v>
      </c>
      <c r="I11" s="81">
        <v>44377</v>
      </c>
      <c r="J11" s="73" t="s">
        <v>403</v>
      </c>
      <c r="K11" s="73" t="s">
        <v>1322</v>
      </c>
      <c r="L11" s="73" t="s">
        <v>400</v>
      </c>
      <c r="M11" s="73">
        <v>1</v>
      </c>
      <c r="N11" s="78" t="s">
        <v>26</v>
      </c>
      <c r="O11" s="70">
        <v>0</v>
      </c>
      <c r="P11" s="70" t="s">
        <v>27</v>
      </c>
      <c r="Q11" s="78" t="s">
        <v>1530</v>
      </c>
      <c r="R11" s="73" t="s">
        <v>405</v>
      </c>
      <c r="S11" s="73">
        <v>1</v>
      </c>
      <c r="T11" s="73" t="s">
        <v>410</v>
      </c>
      <c r="U11" s="73">
        <v>1</v>
      </c>
      <c r="V11" s="73" t="s">
        <v>411</v>
      </c>
      <c r="W11" s="73">
        <v>1</v>
      </c>
      <c r="X11" s="73" t="s">
        <v>414</v>
      </c>
      <c r="Y11" s="73">
        <v>1</v>
      </c>
      <c r="Z11" s="73" t="s">
        <v>565</v>
      </c>
      <c r="AA11" s="73">
        <v>0</v>
      </c>
      <c r="AB11" s="73" t="s">
        <v>967</v>
      </c>
      <c r="AC11" s="73">
        <v>0</v>
      </c>
      <c r="AD11" s="73" t="s">
        <v>1001</v>
      </c>
      <c r="AE11" s="73">
        <v>1</v>
      </c>
      <c r="AF11" s="73" t="s">
        <v>1258</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974</v>
      </c>
      <c r="AI12" s="73">
        <v>9</v>
      </c>
      <c r="AJ12" s="73" t="s">
        <v>1254</v>
      </c>
      <c r="AK12" s="73">
        <v>1</v>
      </c>
      <c r="AL12" s="73" t="s">
        <v>1255</v>
      </c>
      <c r="AM12" s="73">
        <v>1</v>
      </c>
      <c r="AN12" s="73" t="s">
        <v>1256</v>
      </c>
      <c r="AO12" s="73">
        <v>1</v>
      </c>
      <c r="AP12" s="73" t="s">
        <v>1257</v>
      </c>
      <c r="AQ12" s="135" t="s">
        <v>1526</v>
      </c>
    </row>
    <row r="13" spans="1:64">
      <c r="A13" s="72" t="s">
        <v>387</v>
      </c>
      <c r="B13" s="78" t="s">
        <v>28</v>
      </c>
      <c r="C13" s="70">
        <v>1</v>
      </c>
      <c r="D13" s="78" t="s">
        <v>29</v>
      </c>
      <c r="E13" s="70" t="s">
        <v>1320</v>
      </c>
      <c r="F13" s="70" t="s">
        <v>30</v>
      </c>
      <c r="G13" s="80" t="s">
        <v>529</v>
      </c>
      <c r="H13" s="80" t="s">
        <v>31</v>
      </c>
      <c r="I13" s="73" t="s">
        <v>529</v>
      </c>
    </row>
    <row r="14" spans="1:64">
      <c r="A14" s="72" t="s">
        <v>388</v>
      </c>
      <c r="B14" s="79" t="s">
        <v>32</v>
      </c>
      <c r="C14" s="79" t="s">
        <v>1561</v>
      </c>
      <c r="D14" s="79" t="s">
        <v>33</v>
      </c>
      <c r="E14" s="79" t="s">
        <v>542</v>
      </c>
      <c r="F14" s="79" t="s">
        <v>34</v>
      </c>
      <c r="G14" s="79" t="s">
        <v>1562</v>
      </c>
      <c r="H14" s="79" t="s">
        <v>35</v>
      </c>
      <c r="I14" s="79" t="b">
        <v>0</v>
      </c>
      <c r="J14" s="79" t="s">
        <v>36</v>
      </c>
      <c r="K14" s="79" t="s">
        <v>1563</v>
      </c>
      <c r="L14" s="79" t="s">
        <v>37</v>
      </c>
      <c r="M14" s="79" t="s">
        <v>553</v>
      </c>
      <c r="N14" s="79" t="s">
        <v>38</v>
      </c>
      <c r="O14" s="79" t="s">
        <v>1562</v>
      </c>
      <c r="P14" s="79" t="s">
        <v>39</v>
      </c>
      <c r="Q14" s="79" t="b">
        <v>0</v>
      </c>
      <c r="R14" s="79" t="s">
        <v>40</v>
      </c>
      <c r="S14" s="79" t="s">
        <v>1564</v>
      </c>
      <c r="T14" s="79" t="s">
        <v>41</v>
      </c>
      <c r="U14" s="79" t="s">
        <v>554</v>
      </c>
      <c r="V14" s="79" t="s">
        <v>42</v>
      </c>
      <c r="W14" s="79" t="s">
        <v>1562</v>
      </c>
      <c r="X14" s="79" t="s">
        <v>43</v>
      </c>
      <c r="Y14" s="79" t="b">
        <v>1</v>
      </c>
      <c r="Z14" s="79" t="s">
        <v>44</v>
      </c>
      <c r="AA14" s="79" t="s">
        <v>1005</v>
      </c>
      <c r="AB14" s="79" t="s">
        <v>45</v>
      </c>
      <c r="AC14" s="79" t="s">
        <v>1004</v>
      </c>
      <c r="AD14" s="79" t="s">
        <v>46</v>
      </c>
      <c r="AE14" s="79" t="s">
        <v>1006</v>
      </c>
      <c r="AF14" s="79" t="s">
        <v>47</v>
      </c>
      <c r="AG14" s="79" t="b">
        <v>1</v>
      </c>
      <c r="AH14" s="79" t="s">
        <v>48</v>
      </c>
      <c r="AI14" s="79" t="s">
        <v>1007</v>
      </c>
      <c r="AJ14" s="79" t="s">
        <v>49</v>
      </c>
      <c r="AK14" s="79" t="s">
        <v>1008</v>
      </c>
      <c r="AL14" s="79" t="s">
        <v>50</v>
      </c>
      <c r="AM14" s="79" t="s">
        <v>1009</v>
      </c>
      <c r="AN14" s="79" t="s">
        <v>51</v>
      </c>
      <c r="AO14" s="79" t="b">
        <v>0</v>
      </c>
      <c r="AP14" s="79" t="s">
        <v>52</v>
      </c>
      <c r="AQ14" s="79" t="s">
        <v>544</v>
      </c>
      <c r="AR14" s="79" t="s">
        <v>53</v>
      </c>
      <c r="AS14" s="79" t="s">
        <v>555</v>
      </c>
      <c r="AT14" s="79" t="s">
        <v>54</v>
      </c>
      <c r="AU14" s="79" t="s">
        <v>557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1407</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R13" sqref="R13"/>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7" t="s">
        <v>1422</v>
      </c>
      <c r="B1" s="238"/>
      <c r="C1" s="238"/>
      <c r="D1" s="238"/>
      <c r="E1" s="238"/>
      <c r="F1" s="238"/>
      <c r="G1" s="238"/>
      <c r="H1" s="225"/>
      <c r="I1" s="225"/>
      <c r="J1" s="230" t="s">
        <v>1556</v>
      </c>
      <c r="K1" s="231"/>
      <c r="L1" s="231"/>
      <c r="M1" s="226"/>
    </row>
    <row r="2" spans="1:13" s="104" customFormat="1" ht="33.75" customHeight="1">
      <c r="A2" s="239"/>
      <c r="B2" s="240"/>
      <c r="C2" s="240"/>
      <c r="D2" s="240"/>
      <c r="E2" s="240"/>
      <c r="F2" s="240"/>
      <c r="G2" s="240"/>
      <c r="H2" s="235" t="s">
        <v>1557</v>
      </c>
      <c r="I2" s="236"/>
      <c r="J2" s="236"/>
      <c r="K2" s="236"/>
      <c r="L2" s="236"/>
      <c r="M2" s="227"/>
    </row>
    <row r="4" spans="1:13" ht="17.25" customHeight="1">
      <c r="B4" s="232" t="s">
        <v>1423</v>
      </c>
      <c r="C4" s="232"/>
      <c r="D4" s="232"/>
      <c r="E4" s="232"/>
      <c r="F4" s="232"/>
      <c r="G4" s="232"/>
      <c r="H4" s="232"/>
      <c r="I4" s="232"/>
      <c r="J4" s="232"/>
      <c r="K4" s="232"/>
      <c r="L4" s="232"/>
    </row>
    <row r="5" spans="1:13" ht="27.75" customHeight="1">
      <c r="B5" s="232"/>
      <c r="C5" s="232"/>
      <c r="D5" s="232"/>
      <c r="E5" s="232"/>
      <c r="F5" s="232"/>
      <c r="G5" s="232"/>
      <c r="H5" s="232"/>
      <c r="I5" s="232"/>
      <c r="J5" s="232"/>
      <c r="K5" s="232"/>
      <c r="L5" s="232"/>
    </row>
    <row r="6" spans="1:13" s="104" customFormat="1" ht="12.75">
      <c r="B6" s="105"/>
    </row>
    <row r="7" spans="1:13" s="104" customFormat="1" ht="18.75">
      <c r="B7" s="106" t="s">
        <v>1424</v>
      </c>
      <c r="D7" s="107"/>
    </row>
    <row r="8" spans="1:13" s="104" customFormat="1" ht="7.5" customHeight="1">
      <c r="B8" s="105"/>
    </row>
    <row r="9" spans="1:13" s="104" customFormat="1" ht="34.5" customHeight="1" thickBot="1">
      <c r="A9" s="108"/>
      <c r="B9" s="109" t="s">
        <v>535</v>
      </c>
      <c r="C9" s="108"/>
      <c r="D9" s="234" t="s">
        <v>1149</v>
      </c>
      <c r="E9" s="234"/>
      <c r="F9" s="234"/>
      <c r="G9" s="234"/>
      <c r="H9" s="234"/>
      <c r="I9" s="234"/>
      <c r="J9" s="234"/>
      <c r="K9" s="234"/>
      <c r="L9" s="234"/>
    </row>
    <row r="10" spans="1:13" s="104" customFormat="1" ht="27.75" customHeight="1" thickTop="1" thickBot="1">
      <c r="A10" s="108"/>
      <c r="B10" s="110" t="s">
        <v>536</v>
      </c>
      <c r="C10" s="108"/>
      <c r="D10" s="234" t="s">
        <v>1425</v>
      </c>
      <c r="E10" s="234"/>
      <c r="F10" s="234"/>
      <c r="G10" s="234"/>
      <c r="H10" s="234"/>
      <c r="I10" s="234"/>
      <c r="J10" s="234"/>
      <c r="K10" s="234"/>
      <c r="L10" s="234"/>
    </row>
    <row r="11" spans="1:13" s="104" customFormat="1" ht="27.75" customHeight="1" thickTop="1" thickBot="1">
      <c r="A11" s="108"/>
      <c r="B11" s="111" t="s">
        <v>537</v>
      </c>
      <c r="C11" s="108"/>
      <c r="D11" s="234" t="s">
        <v>1426</v>
      </c>
      <c r="E11" s="234"/>
      <c r="F11" s="234"/>
      <c r="G11" s="234"/>
      <c r="H11" s="234"/>
      <c r="I11" s="234"/>
      <c r="J11" s="234"/>
      <c r="K11" s="234"/>
      <c r="L11" s="234"/>
    </row>
    <row r="12" spans="1:13" s="104" customFormat="1" ht="27.75" customHeight="1" thickTop="1" thickBot="1">
      <c r="A12" s="108"/>
      <c r="B12" s="112" t="s">
        <v>538</v>
      </c>
      <c r="C12" s="108"/>
      <c r="D12" s="234" t="s">
        <v>1427</v>
      </c>
      <c r="E12" s="234"/>
      <c r="F12" s="234"/>
      <c r="G12" s="234"/>
      <c r="H12" s="234"/>
      <c r="I12" s="234"/>
      <c r="J12" s="234"/>
      <c r="K12" s="234"/>
      <c r="L12" s="234"/>
    </row>
    <row r="13" spans="1:13" s="104" customFormat="1" ht="27.75" customHeight="1" thickTop="1" thickBot="1">
      <c r="A13" s="108"/>
      <c r="B13" s="113" t="s">
        <v>1093</v>
      </c>
      <c r="C13" s="108"/>
      <c r="D13" s="234" t="s">
        <v>1190</v>
      </c>
      <c r="E13" s="234"/>
      <c r="F13" s="234"/>
      <c r="G13" s="234"/>
      <c r="H13" s="234"/>
      <c r="I13" s="234"/>
      <c r="J13" s="234"/>
      <c r="K13" s="234"/>
      <c r="L13" s="234"/>
    </row>
    <row r="14" spans="1:13" s="104" customFormat="1" ht="27.75" customHeight="1" thickTop="1" thickBot="1">
      <c r="A14" s="108"/>
      <c r="B14" s="113" t="s">
        <v>1010</v>
      </c>
      <c r="C14" s="108"/>
      <c r="D14" s="233" t="s">
        <v>1428</v>
      </c>
      <c r="E14" s="233"/>
      <c r="F14" s="233"/>
      <c r="G14" s="233"/>
      <c r="H14" s="233"/>
      <c r="I14" s="233"/>
      <c r="J14" s="233"/>
      <c r="K14" s="233"/>
      <c r="L14" s="233"/>
    </row>
    <row r="15" spans="1:13" s="104" customFormat="1" ht="27.75" customHeight="1" thickTop="1" thickBot="1">
      <c r="A15" s="108"/>
      <c r="B15" s="114" t="s">
        <v>539</v>
      </c>
      <c r="C15" s="108"/>
      <c r="D15" s="234" t="s">
        <v>1429</v>
      </c>
      <c r="E15" s="234"/>
      <c r="F15" s="234"/>
      <c r="G15" s="234"/>
      <c r="H15" s="234"/>
      <c r="I15" s="234"/>
      <c r="J15" s="234"/>
      <c r="K15" s="234"/>
      <c r="L15" s="234"/>
    </row>
    <row r="16" spans="1:13" ht="16.5" thickTop="1">
      <c r="A16" s="115"/>
      <c r="B16" s="116"/>
      <c r="C16" s="115"/>
      <c r="D16" s="117"/>
      <c r="E16" s="117"/>
      <c r="F16" s="117"/>
      <c r="G16" s="117"/>
      <c r="H16" s="117"/>
      <c r="I16" s="117"/>
      <c r="J16" s="117"/>
      <c r="K16" s="117"/>
      <c r="L16" s="117"/>
    </row>
    <row r="17" spans="2:12" s="104" customFormat="1" ht="18.75">
      <c r="B17" s="106" t="s">
        <v>1430</v>
      </c>
      <c r="D17" s="107"/>
    </row>
    <row r="18" spans="2:12" s="104" customFormat="1" ht="5.25" customHeight="1">
      <c r="B18" s="118"/>
      <c r="D18" s="107"/>
    </row>
    <row r="19" spans="2:12" s="104" customFormat="1" ht="24.75" customHeight="1" thickBot="1">
      <c r="B19" s="119" t="s">
        <v>1431</v>
      </c>
      <c r="D19" s="228" t="s">
        <v>1441</v>
      </c>
      <c r="E19" s="228"/>
      <c r="F19" s="228"/>
      <c r="G19" s="228"/>
      <c r="H19" s="228"/>
      <c r="I19" s="228"/>
      <c r="J19" s="228"/>
      <c r="K19" s="228"/>
      <c r="L19" s="126" t="s">
        <v>1176</v>
      </c>
    </row>
    <row r="20" spans="2:12" s="104" customFormat="1" ht="41.25" customHeight="1" thickTop="1" thickBot="1">
      <c r="B20" s="119" t="s">
        <v>1432</v>
      </c>
      <c r="D20" s="228" t="s">
        <v>1442</v>
      </c>
      <c r="E20" s="228"/>
      <c r="F20" s="228"/>
      <c r="G20" s="228"/>
      <c r="H20" s="228"/>
      <c r="I20" s="228"/>
      <c r="J20" s="228"/>
      <c r="K20" s="228"/>
      <c r="L20" s="126" t="s">
        <v>1176</v>
      </c>
    </row>
    <row r="21" spans="2:12" s="104" customFormat="1" ht="37.5" customHeight="1" thickTop="1" thickBot="1">
      <c r="B21" s="119" t="s">
        <v>1433</v>
      </c>
      <c r="D21" s="228" t="s">
        <v>1443</v>
      </c>
      <c r="E21" s="228"/>
      <c r="F21" s="228"/>
      <c r="G21" s="228"/>
      <c r="H21" s="228"/>
      <c r="I21" s="228"/>
      <c r="J21" s="228"/>
      <c r="K21" s="228"/>
      <c r="L21" s="126" t="s">
        <v>1176</v>
      </c>
    </row>
    <row r="22" spans="2:12" s="104" customFormat="1" ht="41.25" customHeight="1" thickTop="1" thickBot="1">
      <c r="B22" s="119" t="s">
        <v>1434</v>
      </c>
      <c r="D22" s="228" t="s">
        <v>1444</v>
      </c>
      <c r="E22" s="228"/>
      <c r="F22" s="228"/>
      <c r="G22" s="228"/>
      <c r="H22" s="228"/>
      <c r="I22" s="228"/>
      <c r="J22" s="228"/>
      <c r="K22" s="228"/>
      <c r="L22" s="126" t="s">
        <v>1176</v>
      </c>
    </row>
    <row r="23" spans="2:12" s="104" customFormat="1" ht="36" customHeight="1" thickTop="1" thickBot="1">
      <c r="B23" s="119" t="s">
        <v>1435</v>
      </c>
      <c r="D23" s="228" t="s">
        <v>1206</v>
      </c>
      <c r="E23" s="228"/>
      <c r="F23" s="228"/>
      <c r="G23" s="228"/>
      <c r="H23" s="228"/>
      <c r="I23" s="228"/>
      <c r="J23" s="228"/>
      <c r="K23" s="228"/>
      <c r="L23" s="126" t="s">
        <v>1176</v>
      </c>
    </row>
    <row r="24" spans="2:12" s="104" customFormat="1" ht="52.5" customHeight="1" thickTop="1" thickBot="1">
      <c r="B24" s="119" t="s">
        <v>1436</v>
      </c>
      <c r="D24" s="228" t="s">
        <v>1445</v>
      </c>
      <c r="E24" s="228"/>
      <c r="F24" s="228"/>
      <c r="G24" s="228"/>
      <c r="H24" s="228"/>
      <c r="I24" s="228"/>
      <c r="J24" s="228"/>
      <c r="K24" s="228"/>
      <c r="L24" s="126" t="s">
        <v>1176</v>
      </c>
    </row>
    <row r="25" spans="2:12" s="104" customFormat="1" ht="57" customHeight="1" thickTop="1" thickBot="1">
      <c r="B25" s="119" t="s">
        <v>1512</v>
      </c>
      <c r="D25" s="228" t="s">
        <v>1446</v>
      </c>
      <c r="E25" s="228"/>
      <c r="F25" s="228"/>
      <c r="G25" s="228"/>
      <c r="H25" s="228"/>
      <c r="I25" s="228"/>
      <c r="J25" s="228"/>
      <c r="K25" s="228"/>
      <c r="L25" s="126" t="s">
        <v>1176</v>
      </c>
    </row>
    <row r="26" spans="2:12" s="104" customFormat="1" ht="48.75" customHeight="1" thickTop="1" thickBot="1">
      <c r="B26" s="119" t="s">
        <v>1437</v>
      </c>
      <c r="D26" s="228" t="s">
        <v>1447</v>
      </c>
      <c r="E26" s="228"/>
      <c r="F26" s="228"/>
      <c r="G26" s="228"/>
      <c r="H26" s="228"/>
      <c r="I26" s="228"/>
      <c r="J26" s="228"/>
      <c r="K26" s="228"/>
      <c r="L26" s="126" t="s">
        <v>1176</v>
      </c>
    </row>
    <row r="27" spans="2:12" s="104" customFormat="1" ht="43.5" customHeight="1" thickTop="1" thickBot="1">
      <c r="B27" s="119" t="s">
        <v>1438</v>
      </c>
      <c r="D27" s="228" t="s">
        <v>1448</v>
      </c>
      <c r="E27" s="228"/>
      <c r="F27" s="228"/>
      <c r="G27" s="228"/>
      <c r="H27" s="228"/>
      <c r="I27" s="228"/>
      <c r="J27" s="228"/>
      <c r="K27" s="228"/>
      <c r="L27" s="126" t="s">
        <v>1176</v>
      </c>
    </row>
    <row r="28" spans="2:12" s="104" customFormat="1" ht="43.5" customHeight="1" thickTop="1" thickBot="1">
      <c r="B28" s="119" t="s">
        <v>1439</v>
      </c>
      <c r="D28" s="228" t="s">
        <v>1449</v>
      </c>
      <c r="E28" s="228"/>
      <c r="F28" s="228"/>
      <c r="G28" s="228"/>
      <c r="H28" s="228"/>
      <c r="I28" s="228"/>
      <c r="J28" s="228"/>
      <c r="K28" s="228"/>
      <c r="L28" s="126" t="s">
        <v>1176</v>
      </c>
    </row>
    <row r="29" spans="2:12" s="104" customFormat="1" ht="50.25" customHeight="1" thickTop="1" thickBot="1">
      <c r="B29" s="119" t="s">
        <v>538</v>
      </c>
      <c r="D29" s="228" t="s">
        <v>1212</v>
      </c>
      <c r="E29" s="228"/>
      <c r="F29" s="228"/>
      <c r="G29" s="228"/>
      <c r="H29" s="228"/>
      <c r="I29" s="228"/>
      <c r="J29" s="228"/>
      <c r="K29" s="228"/>
      <c r="L29" s="126" t="s">
        <v>1176</v>
      </c>
    </row>
    <row r="30" spans="2:12" s="104" customFormat="1" ht="57.75" customHeight="1" thickTop="1" thickBot="1">
      <c r="B30" s="119" t="s">
        <v>1174</v>
      </c>
      <c r="D30" s="228" t="s">
        <v>1450</v>
      </c>
      <c r="E30" s="228"/>
      <c r="F30" s="228"/>
      <c r="G30" s="228"/>
      <c r="H30" s="228"/>
      <c r="I30" s="228"/>
      <c r="J30" s="228"/>
      <c r="K30" s="228"/>
      <c r="L30" s="126" t="s">
        <v>1176</v>
      </c>
    </row>
    <row r="31" spans="2:12" s="104" customFormat="1" ht="67.5" customHeight="1" thickTop="1" thickBot="1">
      <c r="B31" s="119" t="s">
        <v>1440</v>
      </c>
      <c r="D31" s="228" t="s">
        <v>1214</v>
      </c>
      <c r="E31" s="228"/>
      <c r="F31" s="228"/>
      <c r="G31" s="228"/>
      <c r="H31" s="228"/>
      <c r="I31" s="228"/>
      <c r="J31" s="228"/>
      <c r="K31" s="228"/>
      <c r="L31" s="126" t="s">
        <v>1176</v>
      </c>
    </row>
    <row r="32" spans="2:12" s="104" customFormat="1" thickTop="1">
      <c r="B32" s="120"/>
      <c r="D32" s="107"/>
      <c r="L32" s="108"/>
    </row>
    <row r="33" spans="2:12" s="104" customFormat="1" ht="18.75" customHeight="1">
      <c r="B33" s="121" t="s">
        <v>1560</v>
      </c>
      <c r="C33" s="122"/>
      <c r="D33" s="123"/>
      <c r="E33" s="122"/>
      <c r="F33" s="122"/>
      <c r="G33" s="122"/>
      <c r="H33" s="122"/>
      <c r="I33" s="122"/>
      <c r="J33" s="122"/>
      <c r="K33" s="122"/>
      <c r="L33" s="124"/>
    </row>
    <row r="34" spans="2:12" s="104" customFormat="1" ht="59.25" customHeight="1">
      <c r="B34" s="229" t="s">
        <v>1451</v>
      </c>
      <c r="C34" s="229"/>
      <c r="D34" s="229"/>
      <c r="E34" s="229"/>
      <c r="F34" s="229"/>
      <c r="G34" s="229"/>
      <c r="H34" s="229"/>
      <c r="I34" s="229"/>
      <c r="J34" s="229"/>
      <c r="K34" s="229"/>
      <c r="L34" s="229"/>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HS54"/>
  <sheetViews>
    <sheetView tabSelected="1" zoomScale="130" zoomScaleNormal="130" zoomScalePageLayoutView="55" workbookViewId="0">
      <pane ySplit="4" topLeftCell="A5" activePane="bottomLeft" state="frozen"/>
      <selection activeCell="E5" sqref="E5"/>
      <selection pane="bottomLeft" activeCell="AF4" sqref="AF4"/>
    </sheetView>
  </sheetViews>
  <sheetFormatPr defaultColWidth="10" defaultRowHeight="12" customHeight="1"/>
  <cols>
    <col min="1" max="1" width="9.125" style="168" hidden="1" customWidth="1"/>
    <col min="2" max="2" width="9" style="168" hidden="1" customWidth="1"/>
    <col min="3" max="3" width="8.375" style="168" hidden="1" customWidth="1"/>
    <col min="4" max="4" width="12.75" style="169" customWidth="1"/>
    <col min="5" max="13" width="2.75" style="170" customWidth="1"/>
    <col min="14" max="14" width="4.5" style="170" bestFit="1" customWidth="1"/>
    <col min="15" max="15" width="5.25" style="170" bestFit="1" customWidth="1"/>
    <col min="16" max="17" width="9.875" style="171" bestFit="1" customWidth="1"/>
    <col min="18" max="18" width="7.625" style="172" hidden="1" customWidth="1"/>
    <col min="19" max="19" width="6.375" style="173" bestFit="1" customWidth="1"/>
    <col min="20" max="20" width="4.875" style="173" bestFit="1" customWidth="1"/>
    <col min="21" max="21" width="5.875" style="173" bestFit="1" customWidth="1"/>
    <col min="22" max="22" width="5" style="173" bestFit="1" customWidth="1"/>
    <col min="23" max="24" width="9.75" style="171" hidden="1" customWidth="1"/>
    <col min="25" max="25" width="7.5" style="174" hidden="1" customWidth="1"/>
    <col min="26" max="26" width="6" style="175" hidden="1" customWidth="1"/>
    <col min="27" max="27" width="6.125" style="173" hidden="1" customWidth="1"/>
    <col min="28" max="28" width="20.625" style="172" bestFit="1" customWidth="1"/>
    <col min="29" max="29" width="10.25" style="176" bestFit="1" customWidth="1"/>
    <col min="30" max="30" width="7.75" style="177" bestFit="1" customWidth="1"/>
    <col min="31" max="31" width="7.25" style="178" customWidth="1"/>
    <col min="32" max="227" width="1.875" style="156" customWidth="1"/>
    <col min="228" max="16384" width="10" style="156"/>
  </cols>
  <sheetData>
    <row r="1" spans="1:227" s="141" customFormat="1" ht="20.100000000000001" customHeight="1">
      <c r="A1" s="186"/>
      <c r="B1" s="187"/>
      <c r="C1" s="188"/>
      <c r="D1" s="189" t="str">
        <f ca="1">xlgantt.ProjectName()</f>
        <v>XYZ시스템 구축</v>
      </c>
      <c r="E1" s="190"/>
      <c r="F1" s="190"/>
      <c r="G1" s="190"/>
      <c r="H1" s="190"/>
      <c r="I1" s="190"/>
      <c r="J1" s="190"/>
      <c r="K1" s="190"/>
      <c r="L1" s="190"/>
      <c r="M1" s="190"/>
      <c r="N1" s="190"/>
      <c r="O1" s="190"/>
      <c r="P1" s="190"/>
      <c r="Q1" s="191"/>
      <c r="R1" s="192"/>
      <c r="S1" s="193"/>
      <c r="T1" s="194"/>
      <c r="U1" s="195"/>
      <c r="V1" s="195"/>
      <c r="W1" s="196"/>
      <c r="X1" s="196"/>
      <c r="Y1" s="187"/>
      <c r="Z1" s="197"/>
      <c r="AA1" s="198"/>
      <c r="AB1" s="199"/>
      <c r="AC1" s="200"/>
      <c r="AD1" s="201"/>
      <c r="AE1" s="202" t="str" cm="1">
        <f t="array" aca="1" ref="AE1" ca="1">xlgantt.ProjectProgressString()</f>
        <v>2020-12-25~2021-06-30 [계획:0.00% 실적:0.00%]</v>
      </c>
    </row>
    <row r="2" spans="1:227" s="141" customFormat="1" ht="15" customHeight="1">
      <c r="A2" s="186"/>
      <c r="B2" s="186"/>
      <c r="C2" s="188"/>
      <c r="D2" s="243"/>
      <c r="E2" s="243"/>
      <c r="F2" s="243"/>
      <c r="G2" s="203"/>
      <c r="H2" s="204"/>
      <c r="I2" s="203"/>
      <c r="J2" s="203"/>
      <c r="K2" s="203"/>
      <c r="L2" s="203"/>
      <c r="M2" s="203"/>
      <c r="N2" s="203"/>
      <c r="O2" s="203"/>
      <c r="P2" s="203"/>
      <c r="Q2" s="203"/>
      <c r="R2" s="203"/>
      <c r="S2" s="205"/>
      <c r="T2" s="205"/>
      <c r="U2" s="205"/>
      <c r="V2" s="205"/>
      <c r="W2" s="203"/>
      <c r="X2" s="203"/>
      <c r="Y2" s="203"/>
      <c r="Z2" s="203"/>
      <c r="AA2" s="203"/>
      <c r="AB2" s="203"/>
      <c r="AC2" s="206"/>
      <c r="AD2" s="207"/>
      <c r="AE2" s="203" t="str" cm="1">
        <f t="array" aca="1" ref="AE2" ca="1">xlgantt.CommentOnHeadArea()</f>
        <v>별(*)표시는 필수입력</v>
      </c>
      <c r="AF2" s="287" t="s">
        <v>1311</v>
      </c>
      <c r="AG2" s="287"/>
      <c r="AH2" s="287"/>
      <c r="AI2" s="287"/>
      <c r="AJ2" s="287" t="s">
        <v>1394</v>
      </c>
      <c r="AK2" s="287"/>
      <c r="AL2" s="287"/>
      <c r="AM2" s="287"/>
      <c r="AN2" s="287" t="s">
        <v>1395</v>
      </c>
      <c r="AO2" s="287"/>
      <c r="AP2" s="287"/>
      <c r="AQ2" s="287"/>
      <c r="AR2" s="287" t="s">
        <v>1396</v>
      </c>
      <c r="AS2" s="287"/>
      <c r="AT2" s="287"/>
      <c r="AU2" s="287"/>
      <c r="AV2" s="287" t="s">
        <v>1397</v>
      </c>
      <c r="AW2" s="287"/>
      <c r="AX2" s="287"/>
      <c r="AY2" s="287"/>
      <c r="AZ2" s="287" t="s">
        <v>1398</v>
      </c>
      <c r="BA2" s="287"/>
      <c r="BB2" s="287"/>
      <c r="BC2" s="287"/>
      <c r="BD2" s="287" t="s">
        <v>1567</v>
      </c>
      <c r="BE2" s="287"/>
      <c r="BF2" s="287"/>
      <c r="BG2" s="287"/>
      <c r="BH2" s="286"/>
      <c r="BI2" s="286"/>
      <c r="BJ2" s="286"/>
      <c r="BK2" s="286"/>
      <c r="BL2" s="286"/>
      <c r="BM2" s="286"/>
      <c r="BN2" s="286"/>
      <c r="BO2" s="286"/>
      <c r="BP2" s="286"/>
      <c r="BQ2" s="286"/>
      <c r="BR2" s="286"/>
      <c r="BS2" s="286"/>
      <c r="BT2" s="286"/>
      <c r="BU2" s="286"/>
      <c r="BV2" s="286"/>
      <c r="BW2" s="286"/>
      <c r="BX2" s="286"/>
      <c r="BY2" s="286"/>
      <c r="BZ2" s="286"/>
      <c r="CA2" s="286"/>
      <c r="CB2" s="286"/>
      <c r="CC2" s="286"/>
      <c r="CD2" s="286"/>
      <c r="CE2" s="286"/>
      <c r="CF2" s="286"/>
      <c r="CG2" s="286"/>
      <c r="CH2" s="286"/>
      <c r="CI2" s="286"/>
      <c r="CJ2" s="286"/>
      <c r="CK2" s="286"/>
      <c r="CL2" s="286"/>
      <c r="CM2" s="286"/>
      <c r="CN2" s="286"/>
      <c r="CO2" s="286"/>
      <c r="CP2" s="286"/>
      <c r="CQ2" s="286"/>
      <c r="CR2" s="286"/>
      <c r="CS2" s="286"/>
      <c r="CT2" s="286"/>
      <c r="CU2" s="286"/>
      <c r="CV2" s="286"/>
      <c r="CW2" s="286"/>
      <c r="CX2" s="286"/>
      <c r="CY2" s="286"/>
      <c r="CZ2" s="286"/>
      <c r="DA2" s="286"/>
      <c r="DB2" s="286"/>
      <c r="DC2" s="286"/>
      <c r="DD2" s="286"/>
      <c r="DE2" s="286"/>
      <c r="DF2" s="286"/>
      <c r="DG2" s="286"/>
      <c r="DH2" s="286"/>
      <c r="DI2" s="286"/>
      <c r="DJ2" s="286"/>
      <c r="DK2" s="286"/>
      <c r="DL2" s="286"/>
      <c r="DM2" s="286"/>
      <c r="DN2" s="286"/>
      <c r="DO2" s="286"/>
      <c r="DP2" s="286"/>
      <c r="DQ2" s="286"/>
      <c r="DR2" s="286"/>
      <c r="DS2" s="286"/>
      <c r="DT2" s="286"/>
      <c r="DU2" s="286"/>
      <c r="DV2" s="286"/>
      <c r="DW2" s="286"/>
      <c r="DX2" s="286"/>
      <c r="DY2" s="286"/>
      <c r="DZ2" s="286"/>
      <c r="EA2" s="286"/>
      <c r="EB2" s="286"/>
      <c r="EC2" s="286"/>
      <c r="ED2" s="286"/>
      <c r="EE2" s="286"/>
      <c r="EF2" s="286"/>
      <c r="EG2" s="286"/>
      <c r="EH2" s="286"/>
      <c r="EI2" s="286"/>
      <c r="EJ2" s="286"/>
      <c r="EK2" s="286"/>
      <c r="EL2" s="286"/>
      <c r="EM2" s="286"/>
      <c r="EN2" s="286"/>
      <c r="EO2" s="286"/>
      <c r="EP2" s="286"/>
      <c r="EQ2" s="286"/>
      <c r="ER2" s="286"/>
      <c r="ES2" s="286"/>
      <c r="ET2" s="286"/>
      <c r="EU2" s="286"/>
      <c r="EV2" s="286"/>
      <c r="EW2" s="286"/>
      <c r="EX2" s="286"/>
      <c r="EY2" s="286"/>
      <c r="EZ2" s="286"/>
      <c r="FA2" s="286"/>
      <c r="FB2" s="286"/>
      <c r="FC2" s="286"/>
      <c r="FD2" s="286"/>
      <c r="FE2" s="286"/>
      <c r="FF2" s="286"/>
      <c r="FG2" s="286"/>
      <c r="FH2" s="286"/>
      <c r="FI2" s="286"/>
      <c r="FJ2" s="286"/>
      <c r="FK2" s="286"/>
      <c r="FL2" s="286"/>
      <c r="FM2" s="286"/>
      <c r="FN2" s="286"/>
      <c r="FO2" s="286"/>
      <c r="FP2" s="286"/>
      <c r="FQ2" s="286"/>
      <c r="FR2" s="286"/>
      <c r="FS2" s="286"/>
      <c r="FT2" s="286"/>
      <c r="FU2" s="286"/>
      <c r="FV2" s="286"/>
      <c r="FW2" s="286"/>
      <c r="FX2" s="286"/>
      <c r="FY2" s="286"/>
      <c r="FZ2" s="286"/>
      <c r="GA2" s="286"/>
      <c r="GB2" s="286"/>
      <c r="GC2" s="286"/>
      <c r="GD2" s="286"/>
      <c r="GE2" s="286"/>
      <c r="GF2" s="286"/>
      <c r="GG2" s="286"/>
      <c r="GH2" s="286"/>
      <c r="GI2" s="286"/>
      <c r="GJ2" s="286"/>
      <c r="GK2" s="286"/>
      <c r="GL2" s="286"/>
      <c r="GM2" s="286"/>
      <c r="GN2" s="286"/>
      <c r="GO2" s="286"/>
      <c r="GP2" s="286"/>
      <c r="GQ2" s="286"/>
      <c r="GR2" s="286"/>
      <c r="GS2" s="286"/>
      <c r="GT2" s="286"/>
      <c r="GU2" s="286"/>
      <c r="GV2" s="286"/>
      <c r="GW2" s="286"/>
      <c r="GX2" s="286"/>
      <c r="GY2" s="286"/>
      <c r="GZ2" s="286"/>
      <c r="HA2" s="286"/>
      <c r="HB2" s="286"/>
      <c r="HC2" s="286"/>
      <c r="HD2" s="286"/>
      <c r="HE2" s="286"/>
      <c r="HF2" s="286"/>
      <c r="HG2" s="286"/>
      <c r="HH2" s="286"/>
      <c r="HI2" s="286"/>
      <c r="HJ2" s="286"/>
      <c r="HK2" s="286"/>
      <c r="HL2" s="286"/>
      <c r="HM2" s="286"/>
      <c r="HN2" s="286"/>
      <c r="HO2" s="286"/>
      <c r="HP2" s="286"/>
      <c r="HQ2" s="286"/>
      <c r="HR2" s="286"/>
      <c r="HS2" s="286"/>
    </row>
    <row r="3" spans="1:227" s="141" customFormat="1" ht="18.95" customHeight="1">
      <c r="A3" s="265" t="s">
        <v>556</v>
      </c>
      <c r="B3" s="267" t="s">
        <v>551</v>
      </c>
      <c r="C3" s="269" t="s">
        <v>558</v>
      </c>
      <c r="D3" s="270" t="s">
        <v>552</v>
      </c>
      <c r="E3" s="271" t="s">
        <v>1468</v>
      </c>
      <c r="F3" s="272"/>
      <c r="G3" s="272"/>
      <c r="H3" s="272"/>
      <c r="I3" s="272"/>
      <c r="J3" s="272"/>
      <c r="K3" s="272"/>
      <c r="L3" s="272"/>
      <c r="M3" s="272"/>
      <c r="N3" s="272"/>
      <c r="O3" s="244" t="s">
        <v>1469</v>
      </c>
      <c r="P3" s="244" t="s">
        <v>1470</v>
      </c>
      <c r="Q3" s="244" t="s">
        <v>1471</v>
      </c>
      <c r="R3" s="251" t="s">
        <v>1511</v>
      </c>
      <c r="S3" s="246" t="s">
        <v>1472</v>
      </c>
      <c r="T3" s="253" t="s">
        <v>1473</v>
      </c>
      <c r="U3" s="246" t="s">
        <v>1474</v>
      </c>
      <c r="V3" s="246" t="s">
        <v>1475</v>
      </c>
      <c r="W3" s="248" t="s">
        <v>1476</v>
      </c>
      <c r="X3" s="248" t="s">
        <v>1477</v>
      </c>
      <c r="Y3" s="255" t="s">
        <v>1478</v>
      </c>
      <c r="Z3" s="249" t="s">
        <v>1479</v>
      </c>
      <c r="AA3" s="257" t="s">
        <v>1480</v>
      </c>
      <c r="AB3" s="244" t="s">
        <v>1481</v>
      </c>
      <c r="AC3" s="259" t="s">
        <v>1513</v>
      </c>
      <c r="AD3" s="263" t="s">
        <v>1482</v>
      </c>
      <c r="AE3" s="261" t="s">
        <v>1483</v>
      </c>
      <c r="AF3" s="241" t="s">
        <v>1531</v>
      </c>
      <c r="AG3" s="242"/>
      <c r="AH3" s="242"/>
      <c r="AI3" s="242"/>
      <c r="AJ3" s="274" t="s">
        <v>1532</v>
      </c>
      <c r="AK3" s="242"/>
      <c r="AL3" s="242"/>
      <c r="AM3" s="242"/>
      <c r="AN3" s="274" t="s">
        <v>1533</v>
      </c>
      <c r="AO3" s="242"/>
      <c r="AP3" s="242"/>
      <c r="AQ3" s="242"/>
      <c r="AR3" s="274" t="s">
        <v>1534</v>
      </c>
      <c r="AS3" s="242"/>
      <c r="AT3" s="242"/>
      <c r="AU3" s="242"/>
      <c r="AV3" s="274" t="s">
        <v>1535</v>
      </c>
      <c r="AW3" s="242"/>
      <c r="AX3" s="242"/>
      <c r="AY3" s="242"/>
      <c r="AZ3" s="274" t="s">
        <v>1536</v>
      </c>
      <c r="BA3" s="242"/>
      <c r="BB3" s="242"/>
      <c r="BC3" s="242"/>
      <c r="BD3" s="274" t="s">
        <v>1566</v>
      </c>
      <c r="BE3" s="242"/>
      <c r="BF3" s="242"/>
      <c r="BG3" s="275"/>
    </row>
    <row r="4" spans="1:227" s="142" customFormat="1" ht="6" customHeight="1">
      <c r="A4" s="266"/>
      <c r="B4" s="268"/>
      <c r="C4" s="265"/>
      <c r="D4" s="260"/>
      <c r="E4" s="273"/>
      <c r="F4" s="272"/>
      <c r="G4" s="272"/>
      <c r="H4" s="272"/>
      <c r="I4" s="272"/>
      <c r="J4" s="272"/>
      <c r="K4" s="272"/>
      <c r="L4" s="272"/>
      <c r="M4" s="272"/>
      <c r="N4" s="272"/>
      <c r="O4" s="245"/>
      <c r="P4" s="245"/>
      <c r="Q4" s="245"/>
      <c r="R4" s="252"/>
      <c r="S4" s="247"/>
      <c r="T4" s="254"/>
      <c r="U4" s="247"/>
      <c r="V4" s="247"/>
      <c r="W4" s="245"/>
      <c r="X4" s="245"/>
      <c r="Y4" s="256"/>
      <c r="Z4" s="250"/>
      <c r="AA4" s="258"/>
      <c r="AB4" s="245"/>
      <c r="AC4" s="260"/>
      <c r="AD4" s="264"/>
      <c r="AE4" s="262"/>
      <c r="AF4" s="183">
        <v>44185</v>
      </c>
      <c r="AG4" s="184">
        <v>44192</v>
      </c>
      <c r="AH4" s="184">
        <v>44199</v>
      </c>
      <c r="AI4" s="184">
        <v>44206</v>
      </c>
      <c r="AJ4" s="184">
        <v>44213</v>
      </c>
      <c r="AK4" s="184">
        <v>44220</v>
      </c>
      <c r="AL4" s="184">
        <v>44227</v>
      </c>
      <c r="AM4" s="184">
        <v>44234</v>
      </c>
      <c r="AN4" s="184">
        <v>44241</v>
      </c>
      <c r="AO4" s="184">
        <v>44248</v>
      </c>
      <c r="AP4" s="184">
        <v>44255</v>
      </c>
      <c r="AQ4" s="184">
        <v>44262</v>
      </c>
      <c r="AR4" s="184">
        <v>44269</v>
      </c>
      <c r="AS4" s="184">
        <v>44276</v>
      </c>
      <c r="AT4" s="184">
        <v>44283</v>
      </c>
      <c r="AU4" s="184">
        <v>44290</v>
      </c>
      <c r="AV4" s="184">
        <v>44297</v>
      </c>
      <c r="AW4" s="184">
        <v>44304</v>
      </c>
      <c r="AX4" s="184">
        <v>44311</v>
      </c>
      <c r="AY4" s="184">
        <v>44318</v>
      </c>
      <c r="AZ4" s="184">
        <v>44325</v>
      </c>
      <c r="BA4" s="184">
        <v>44332</v>
      </c>
      <c r="BB4" s="184">
        <v>44339</v>
      </c>
      <c r="BC4" s="184">
        <v>44346</v>
      </c>
      <c r="BD4" s="184">
        <v>44353</v>
      </c>
      <c r="BE4" s="184">
        <v>44360</v>
      </c>
      <c r="BF4" s="184">
        <v>44367</v>
      </c>
      <c r="BG4" s="289">
        <v>44374</v>
      </c>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c r="DR4" s="185"/>
      <c r="DS4" s="185"/>
      <c r="DT4" s="185"/>
      <c r="DU4" s="185"/>
      <c r="DV4" s="185"/>
      <c r="DW4" s="185"/>
      <c r="DX4" s="185"/>
      <c r="DY4" s="185"/>
      <c r="DZ4" s="185"/>
      <c r="EA4" s="185"/>
      <c r="EB4" s="185"/>
      <c r="EC4" s="185"/>
      <c r="ED4" s="185"/>
      <c r="EE4" s="185"/>
      <c r="EF4" s="185"/>
      <c r="EG4" s="185"/>
      <c r="EH4" s="185"/>
      <c r="EI4" s="185"/>
      <c r="EJ4" s="185"/>
      <c r="EK4" s="185"/>
      <c r="EL4" s="185"/>
      <c r="EM4" s="185"/>
      <c r="EN4" s="185"/>
      <c r="EO4" s="185"/>
      <c r="EP4" s="185"/>
      <c r="EQ4" s="185"/>
      <c r="ER4" s="185"/>
      <c r="ES4" s="185"/>
      <c r="ET4" s="185"/>
      <c r="EU4" s="185"/>
      <c r="EV4" s="185"/>
      <c r="EW4" s="185"/>
      <c r="EX4" s="185"/>
      <c r="EY4" s="185"/>
      <c r="EZ4" s="185"/>
      <c r="FA4" s="185"/>
      <c r="FB4" s="185"/>
      <c r="FC4" s="185"/>
      <c r="FD4" s="185"/>
      <c r="FE4" s="185"/>
      <c r="FF4" s="185"/>
      <c r="FG4" s="185"/>
      <c r="FH4" s="185"/>
      <c r="FI4" s="185"/>
      <c r="FJ4" s="185"/>
      <c r="FK4" s="185"/>
      <c r="FL4" s="185"/>
      <c r="FM4" s="185"/>
      <c r="FN4" s="185"/>
      <c r="FO4" s="185"/>
      <c r="FP4" s="185"/>
      <c r="FQ4" s="185"/>
      <c r="FR4" s="185"/>
      <c r="FS4" s="185"/>
      <c r="FT4" s="185"/>
      <c r="FU4" s="185"/>
      <c r="FV4" s="185"/>
      <c r="FW4" s="185"/>
      <c r="FX4" s="185"/>
      <c r="FY4" s="185"/>
      <c r="FZ4" s="185"/>
      <c r="GA4" s="185"/>
      <c r="GB4" s="185"/>
      <c r="GC4" s="185"/>
      <c r="GD4" s="185"/>
      <c r="GE4" s="185"/>
      <c r="GF4" s="185"/>
      <c r="GG4" s="185"/>
      <c r="GH4" s="185"/>
      <c r="GI4" s="185"/>
      <c r="GJ4" s="185"/>
      <c r="GK4" s="185"/>
      <c r="GL4" s="185"/>
      <c r="GM4" s="185"/>
      <c r="GN4" s="185"/>
      <c r="GO4" s="185"/>
      <c r="GP4" s="185"/>
      <c r="GQ4" s="185"/>
      <c r="GR4" s="185"/>
      <c r="GS4" s="185"/>
      <c r="GT4" s="185"/>
      <c r="GU4" s="185"/>
      <c r="GV4" s="185"/>
      <c r="GW4" s="185"/>
      <c r="GX4" s="185"/>
      <c r="GY4" s="185"/>
      <c r="GZ4" s="185"/>
      <c r="HA4" s="185"/>
      <c r="HB4" s="185"/>
      <c r="HC4" s="185"/>
      <c r="HD4" s="185"/>
      <c r="HE4" s="185"/>
      <c r="HF4" s="185"/>
      <c r="HG4" s="185"/>
      <c r="HH4" s="185"/>
      <c r="HI4" s="185"/>
      <c r="HJ4" s="185"/>
      <c r="HK4" s="185"/>
      <c r="HL4" s="185"/>
      <c r="HM4" s="185"/>
      <c r="HN4" s="185"/>
      <c r="HO4" s="185"/>
      <c r="HP4" s="185"/>
      <c r="HQ4" s="185"/>
      <c r="HR4" s="185"/>
      <c r="HS4" s="185"/>
    </row>
    <row r="5" spans="1:227" ht="12" customHeight="1">
      <c r="A5" s="143"/>
      <c r="B5" s="143"/>
      <c r="C5" s="143">
        <f>IF(NOT(E5=""),1,IF(NOT(F5=""),2,IF(NOT(G5=""),3,IF(NOT(H5=""),4,IF(NOT(I5=""),5,IF(NOT(J5=""),6,IF(NOT(K5=""),7,IF(NOT(L5=""),8,IF(NOT(M5=""),9,IF(NOT(N5=""),10,0))))))))))</f>
        <v>1</v>
      </c>
      <c r="D5" s="303"/>
      <c r="E5" s="304" t="s">
        <v>1569</v>
      </c>
      <c r="F5" s="304"/>
      <c r="G5" s="304"/>
      <c r="H5" s="304"/>
      <c r="I5" s="304"/>
      <c r="J5" s="304"/>
      <c r="K5" s="304"/>
      <c r="L5" s="304"/>
      <c r="M5" s="304"/>
      <c r="N5" s="304"/>
      <c r="O5" s="304"/>
      <c r="P5" s="305"/>
      <c r="Q5" s="305"/>
      <c r="R5" s="297"/>
      <c r="S5" s="298"/>
      <c r="T5" s="298"/>
      <c r="U5" s="298"/>
      <c r="V5" s="298"/>
      <c r="W5" s="296"/>
      <c r="X5" s="296"/>
      <c r="Y5" s="299"/>
      <c r="Z5" s="300"/>
      <c r="AA5" s="298"/>
      <c r="AB5" s="297"/>
      <c r="AC5" s="301"/>
      <c r="AD5" s="302"/>
      <c r="AE5" s="288"/>
      <c r="AF5" s="154"/>
      <c r="AG5" s="154"/>
      <c r="AH5" s="154"/>
      <c r="AI5" s="154"/>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row>
    <row r="6" spans="1:227" ht="12" customHeight="1">
      <c r="A6" s="143"/>
      <c r="B6" s="143"/>
      <c r="C6" s="143">
        <v>4</v>
      </c>
      <c r="D6" s="303"/>
      <c r="E6" s="304"/>
      <c r="F6" s="304"/>
      <c r="G6" s="304"/>
      <c r="H6" s="304"/>
      <c r="I6" s="304"/>
      <c r="J6" s="304"/>
      <c r="K6" s="304"/>
      <c r="L6" s="304"/>
      <c r="M6" s="304"/>
      <c r="N6" s="304"/>
      <c r="O6" s="304"/>
      <c r="P6" s="305"/>
      <c r="Q6" s="305"/>
      <c r="R6" s="297"/>
      <c r="S6" s="298"/>
      <c r="T6" s="298"/>
      <c r="U6" s="298"/>
      <c r="V6" s="298"/>
      <c r="W6" s="296"/>
      <c r="X6" s="296"/>
      <c r="Y6" s="299"/>
      <c r="Z6" s="300"/>
      <c r="AA6" s="298"/>
      <c r="AB6" s="297"/>
      <c r="AC6" s="301"/>
      <c r="AD6" s="302"/>
      <c r="AE6" s="153"/>
      <c r="AF6" s="155"/>
      <c r="AG6" s="155"/>
      <c r="AH6" s="155"/>
      <c r="AI6" s="155"/>
      <c r="AJ6" s="155"/>
      <c r="AK6" s="155"/>
      <c r="AL6" s="155"/>
      <c r="AM6" s="155"/>
      <c r="AN6" s="155"/>
      <c r="AO6" s="155"/>
      <c r="AP6" s="155"/>
      <c r="AQ6" s="155"/>
      <c r="AR6" s="155"/>
      <c r="AS6" s="155"/>
      <c r="AT6" s="155"/>
      <c r="AU6" s="155"/>
      <c r="AV6" s="155"/>
      <c r="AW6" s="155"/>
      <c r="AX6" s="155"/>
      <c r="AY6" s="155"/>
      <c r="AZ6" s="155"/>
      <c r="BA6" s="155"/>
      <c r="BB6" s="155"/>
      <c r="BC6" s="155"/>
      <c r="BD6" s="155"/>
      <c r="BE6" s="155"/>
      <c r="BF6" s="155"/>
      <c r="BG6" s="155"/>
      <c r="BH6" s="155"/>
    </row>
    <row r="7" spans="1:227" ht="12" customHeight="1">
      <c r="A7" s="143">
        <v>1</v>
      </c>
      <c r="B7" s="143"/>
      <c r="C7" s="143">
        <v>4</v>
      </c>
      <c r="D7" s="303"/>
      <c r="E7" s="304"/>
      <c r="F7" s="304"/>
      <c r="G7" s="304"/>
      <c r="H7" s="304"/>
      <c r="I7" s="304"/>
      <c r="J7" s="304"/>
      <c r="K7" s="304"/>
      <c r="L7" s="304"/>
      <c r="M7" s="304"/>
      <c r="N7" s="304"/>
      <c r="O7" s="304"/>
      <c r="P7" s="305"/>
      <c r="Q7" s="305"/>
      <c r="R7" s="297"/>
      <c r="S7" s="298"/>
      <c r="T7" s="298"/>
      <c r="U7" s="298"/>
      <c r="V7" s="298"/>
      <c r="W7" s="296"/>
      <c r="X7" s="296"/>
      <c r="Y7" s="299"/>
      <c r="Z7" s="300"/>
      <c r="AA7" s="298"/>
      <c r="AB7" s="297"/>
      <c r="AC7" s="301"/>
      <c r="AD7" s="302"/>
      <c r="AE7" s="153"/>
    </row>
    <row r="8" spans="1:227" ht="12" customHeight="1">
      <c r="A8" s="143"/>
      <c r="B8" s="143" t="s">
        <v>1504</v>
      </c>
      <c r="C8" s="143">
        <v>2</v>
      </c>
      <c r="D8" s="303"/>
      <c r="E8" s="304"/>
      <c r="F8" s="304"/>
      <c r="G8" s="304"/>
      <c r="H8" s="304"/>
      <c r="I8" s="304"/>
      <c r="J8" s="304"/>
      <c r="K8" s="304"/>
      <c r="L8" s="304"/>
      <c r="M8" s="304"/>
      <c r="N8" s="304"/>
      <c r="O8" s="304"/>
      <c r="P8" s="305"/>
      <c r="Q8" s="305"/>
      <c r="R8" s="297"/>
      <c r="S8" s="298"/>
      <c r="T8" s="298"/>
      <c r="U8" s="298"/>
      <c r="V8" s="298"/>
      <c r="W8" s="296"/>
      <c r="X8" s="296"/>
      <c r="Y8" s="299"/>
      <c r="Z8" s="300"/>
      <c r="AA8" s="298"/>
      <c r="AB8" s="297"/>
      <c r="AC8" s="301"/>
      <c r="AD8" s="302"/>
      <c r="AE8" s="210"/>
    </row>
    <row r="9" spans="1:227" ht="12" customHeight="1">
      <c r="A9" s="143"/>
      <c r="B9" s="143"/>
      <c r="C9" s="143">
        <v>3</v>
      </c>
      <c r="D9" s="303"/>
      <c r="E9" s="304"/>
      <c r="F9" s="304"/>
      <c r="G9" s="304"/>
      <c r="H9" s="304"/>
      <c r="I9" s="304"/>
      <c r="J9" s="304"/>
      <c r="K9" s="304"/>
      <c r="L9" s="304"/>
      <c r="M9" s="304"/>
      <c r="N9" s="304"/>
      <c r="O9" s="304"/>
      <c r="P9" s="305"/>
      <c r="Q9" s="305"/>
      <c r="R9" s="297"/>
      <c r="S9" s="298"/>
      <c r="T9" s="298"/>
      <c r="U9" s="298"/>
      <c r="V9" s="298"/>
      <c r="W9" s="296"/>
      <c r="X9" s="296"/>
      <c r="Y9" s="299"/>
      <c r="Z9" s="300"/>
      <c r="AA9" s="298"/>
      <c r="AB9" s="297"/>
      <c r="AC9" s="301"/>
      <c r="AD9" s="302"/>
      <c r="AE9" s="209"/>
    </row>
    <row r="10" spans="1:227" ht="12" customHeight="1">
      <c r="A10" s="143"/>
      <c r="B10" s="143"/>
      <c r="C10" s="143">
        <v>3</v>
      </c>
      <c r="D10" s="303"/>
      <c r="E10" s="304"/>
      <c r="F10" s="304"/>
      <c r="G10" s="304"/>
      <c r="H10" s="304"/>
      <c r="I10" s="304"/>
      <c r="J10" s="304"/>
      <c r="K10" s="304"/>
      <c r="L10" s="304"/>
      <c r="M10" s="304"/>
      <c r="N10" s="304"/>
      <c r="O10" s="304"/>
      <c r="P10" s="305"/>
      <c r="Q10" s="305"/>
      <c r="R10" s="297"/>
      <c r="S10" s="298"/>
      <c r="T10" s="298"/>
      <c r="U10" s="298"/>
      <c r="V10" s="298"/>
      <c r="W10" s="296"/>
      <c r="X10" s="296"/>
      <c r="Y10" s="299"/>
      <c r="Z10" s="300"/>
      <c r="AA10" s="298"/>
      <c r="AB10" s="297"/>
      <c r="AC10" s="301"/>
      <c r="AD10" s="302"/>
      <c r="AE10" s="209"/>
    </row>
    <row r="11" spans="1:227" ht="12" customHeight="1">
      <c r="A11" s="143"/>
      <c r="B11" s="143"/>
      <c r="C11" s="143">
        <v>3</v>
      </c>
      <c r="D11" s="303"/>
      <c r="E11" s="304"/>
      <c r="F11" s="304"/>
      <c r="G11" s="304"/>
      <c r="H11" s="304"/>
      <c r="I11" s="304"/>
      <c r="J11" s="304"/>
      <c r="K11" s="304"/>
      <c r="L11" s="304"/>
      <c r="M11" s="304"/>
      <c r="N11" s="304"/>
      <c r="O11" s="304"/>
      <c r="P11" s="305"/>
      <c r="Q11" s="305"/>
      <c r="R11" s="297"/>
      <c r="S11" s="298"/>
      <c r="T11" s="298"/>
      <c r="U11" s="298"/>
      <c r="V11" s="298"/>
      <c r="W11" s="296"/>
      <c r="X11" s="296"/>
      <c r="Y11" s="299"/>
      <c r="Z11" s="300"/>
      <c r="AA11" s="298"/>
      <c r="AB11" s="297"/>
      <c r="AC11" s="301"/>
      <c r="AD11" s="302"/>
      <c r="AE11" s="209"/>
    </row>
    <row r="12" spans="1:227" ht="12" customHeight="1">
      <c r="A12" s="143">
        <v>0</v>
      </c>
      <c r="B12" s="143"/>
      <c r="C12" s="143">
        <v>3</v>
      </c>
      <c r="D12" s="294"/>
      <c r="E12" s="295"/>
      <c r="F12" s="295"/>
      <c r="G12" s="295"/>
      <c r="H12" s="295"/>
      <c r="I12" s="295"/>
      <c r="J12" s="295"/>
      <c r="K12" s="295"/>
      <c r="L12" s="295"/>
      <c r="M12" s="295"/>
      <c r="N12" s="295"/>
      <c r="O12" s="295"/>
      <c r="P12" s="296"/>
      <c r="Q12" s="296"/>
      <c r="R12" s="297"/>
      <c r="S12" s="298"/>
      <c r="T12" s="298"/>
      <c r="U12" s="298"/>
      <c r="V12" s="298"/>
      <c r="W12" s="296"/>
      <c r="X12" s="296"/>
      <c r="Y12" s="299"/>
      <c r="Z12" s="300"/>
      <c r="AA12" s="298"/>
      <c r="AB12" s="297"/>
      <c r="AC12" s="301"/>
      <c r="AD12" s="302"/>
      <c r="AE12" s="209"/>
    </row>
    <row r="13" spans="1:227" ht="12" customHeight="1">
      <c r="A13" s="143"/>
      <c r="B13" s="143" t="s">
        <v>1504</v>
      </c>
      <c r="C13" s="143">
        <v>2</v>
      </c>
      <c r="D13" s="294"/>
      <c r="E13" s="295"/>
      <c r="F13" s="295"/>
      <c r="G13" s="295"/>
      <c r="H13" s="295"/>
      <c r="I13" s="295"/>
      <c r="J13" s="295"/>
      <c r="K13" s="295"/>
      <c r="L13" s="295"/>
      <c r="M13" s="295"/>
      <c r="N13" s="295"/>
      <c r="O13" s="295"/>
      <c r="P13" s="296"/>
      <c r="Q13" s="296"/>
      <c r="R13" s="297"/>
      <c r="S13" s="298"/>
      <c r="T13" s="298"/>
      <c r="U13" s="298"/>
      <c r="V13" s="298"/>
      <c r="W13" s="296"/>
      <c r="X13" s="296"/>
      <c r="Y13" s="299"/>
      <c r="Z13" s="300"/>
      <c r="AA13" s="298"/>
      <c r="AB13" s="297"/>
      <c r="AC13" s="301"/>
      <c r="AD13" s="302"/>
      <c r="AE13" s="208"/>
    </row>
    <row r="14" spans="1:227" ht="12" customHeight="1">
      <c r="A14" s="143"/>
      <c r="B14" s="143"/>
      <c r="C14" s="143">
        <v>3</v>
      </c>
      <c r="D14" s="294"/>
      <c r="E14" s="295"/>
      <c r="F14" s="295"/>
      <c r="G14" s="295"/>
      <c r="H14" s="295"/>
      <c r="I14" s="295"/>
      <c r="J14" s="295"/>
      <c r="K14" s="295"/>
      <c r="L14" s="295"/>
      <c r="M14" s="295"/>
      <c r="N14" s="295"/>
      <c r="O14" s="295"/>
      <c r="P14" s="296"/>
      <c r="Q14" s="296"/>
      <c r="R14" s="297"/>
      <c r="S14" s="298"/>
      <c r="T14" s="298"/>
      <c r="U14" s="298"/>
      <c r="V14" s="298"/>
      <c r="W14" s="296"/>
      <c r="X14" s="296"/>
      <c r="Y14" s="299"/>
      <c r="Z14" s="300"/>
      <c r="AA14" s="298"/>
      <c r="AB14" s="297"/>
      <c r="AC14" s="301"/>
      <c r="AD14" s="302"/>
      <c r="AE14" s="182"/>
    </row>
    <row r="15" spans="1:227" ht="12" customHeight="1">
      <c r="A15" s="143"/>
      <c r="B15" s="143"/>
      <c r="C15" s="143">
        <v>3</v>
      </c>
      <c r="D15" s="294"/>
      <c r="E15" s="295"/>
      <c r="F15" s="295"/>
      <c r="G15" s="295"/>
      <c r="H15" s="295"/>
      <c r="I15" s="295"/>
      <c r="J15" s="295"/>
      <c r="K15" s="295"/>
      <c r="L15" s="295"/>
      <c r="M15" s="295"/>
      <c r="N15" s="295"/>
      <c r="O15" s="295"/>
      <c r="P15" s="296"/>
      <c r="Q15" s="296"/>
      <c r="R15" s="297"/>
      <c r="S15" s="298"/>
      <c r="T15" s="298"/>
      <c r="U15" s="298"/>
      <c r="V15" s="298"/>
      <c r="W15" s="296"/>
      <c r="X15" s="296"/>
      <c r="Y15" s="299"/>
      <c r="Z15" s="300"/>
      <c r="AA15" s="298"/>
      <c r="AB15" s="297"/>
      <c r="AC15" s="301"/>
      <c r="AD15" s="302"/>
      <c r="AE15" s="182"/>
    </row>
    <row r="16" spans="1:227" ht="12" customHeight="1">
      <c r="A16" s="143"/>
      <c r="B16" s="143"/>
      <c r="C16" s="143">
        <v>3</v>
      </c>
      <c r="D16" s="294"/>
      <c r="E16" s="295"/>
      <c r="F16" s="295"/>
      <c r="G16" s="295"/>
      <c r="H16" s="295"/>
      <c r="I16" s="295"/>
      <c r="J16" s="295"/>
      <c r="K16" s="295"/>
      <c r="L16" s="295"/>
      <c r="M16" s="295"/>
      <c r="N16" s="295"/>
      <c r="O16" s="295"/>
      <c r="P16" s="296"/>
      <c r="Q16" s="296"/>
      <c r="R16" s="297"/>
      <c r="S16" s="298"/>
      <c r="T16" s="298"/>
      <c r="U16" s="298"/>
      <c r="V16" s="298"/>
      <c r="W16" s="296"/>
      <c r="X16" s="296"/>
      <c r="Y16" s="299"/>
      <c r="Z16" s="300"/>
      <c r="AA16" s="298"/>
      <c r="AB16" s="297"/>
      <c r="AC16" s="301"/>
      <c r="AD16" s="302"/>
      <c r="AE16" s="182"/>
    </row>
    <row r="17" spans="1:31" ht="12" customHeight="1">
      <c r="A17" s="143">
        <v>1</v>
      </c>
      <c r="B17" s="143"/>
      <c r="C17" s="143">
        <v>3</v>
      </c>
      <c r="D17" s="294"/>
      <c r="E17" s="295"/>
      <c r="F17" s="295"/>
      <c r="G17" s="295"/>
      <c r="H17" s="295"/>
      <c r="I17" s="295"/>
      <c r="J17" s="295"/>
      <c r="K17" s="295"/>
      <c r="L17" s="295"/>
      <c r="M17" s="295"/>
      <c r="N17" s="295"/>
      <c r="O17" s="295"/>
      <c r="P17" s="296"/>
      <c r="Q17" s="296"/>
      <c r="R17" s="297"/>
      <c r="S17" s="298"/>
      <c r="T17" s="298"/>
      <c r="U17" s="298"/>
      <c r="V17" s="298"/>
      <c r="W17" s="296"/>
      <c r="X17" s="296"/>
      <c r="Y17" s="299"/>
      <c r="Z17" s="300"/>
      <c r="AA17" s="298"/>
      <c r="AB17" s="297"/>
      <c r="AC17" s="301"/>
      <c r="AD17" s="302"/>
      <c r="AE17" s="182"/>
    </row>
    <row r="18" spans="1:31" ht="12" customHeight="1">
      <c r="A18" s="143"/>
      <c r="B18" s="143"/>
      <c r="C18" s="143">
        <v>0</v>
      </c>
      <c r="D18" s="294"/>
      <c r="E18" s="295"/>
      <c r="F18" s="295"/>
      <c r="G18" s="295"/>
      <c r="H18" s="295"/>
      <c r="I18" s="295"/>
      <c r="J18" s="295"/>
      <c r="K18" s="295"/>
      <c r="L18" s="295"/>
      <c r="M18" s="295"/>
      <c r="N18" s="295"/>
      <c r="O18" s="295"/>
      <c r="P18" s="296"/>
      <c r="Q18" s="296"/>
      <c r="R18" s="297"/>
      <c r="S18" s="298"/>
      <c r="T18" s="298"/>
      <c r="U18" s="298"/>
      <c r="V18" s="298"/>
      <c r="W18" s="296"/>
      <c r="X18" s="296"/>
      <c r="Y18" s="299"/>
      <c r="Z18" s="300"/>
      <c r="AA18" s="298"/>
      <c r="AB18" s="297"/>
      <c r="AC18" s="301"/>
      <c r="AD18" s="302"/>
      <c r="AE18" s="153"/>
    </row>
    <row r="19" spans="1:31" ht="12" customHeight="1">
      <c r="A19" s="143"/>
      <c r="B19" s="143" t="s">
        <v>1504</v>
      </c>
      <c r="C19" s="143">
        <v>1</v>
      </c>
      <c r="D19" s="294"/>
      <c r="E19" s="295"/>
      <c r="F19" s="295"/>
      <c r="G19" s="295"/>
      <c r="H19" s="295"/>
      <c r="I19" s="290"/>
      <c r="J19" s="290"/>
      <c r="K19" s="290"/>
      <c r="L19" s="290"/>
      <c r="M19" s="290"/>
      <c r="N19" s="290"/>
      <c r="O19" s="290"/>
      <c r="P19" s="291"/>
      <c r="Q19" s="291"/>
      <c r="R19" s="292"/>
      <c r="S19" s="293"/>
      <c r="T19" s="298"/>
      <c r="U19" s="298"/>
      <c r="V19" s="298"/>
      <c r="W19" s="296"/>
      <c r="X19" s="296"/>
      <c r="Y19" s="299"/>
      <c r="Z19" s="300"/>
      <c r="AA19" s="298"/>
      <c r="AB19" s="297"/>
      <c r="AC19" s="301"/>
      <c r="AD19" s="302"/>
      <c r="AE19" s="210"/>
    </row>
    <row r="20" spans="1:31" ht="12" customHeight="1">
      <c r="A20" s="143"/>
      <c r="B20" s="143" t="s">
        <v>1504</v>
      </c>
      <c r="C20" s="143">
        <v>2</v>
      </c>
      <c r="D20" s="294"/>
      <c r="E20" s="295"/>
      <c r="F20" s="295"/>
      <c r="G20" s="295"/>
      <c r="H20" s="295"/>
      <c r="I20" s="290"/>
      <c r="J20" s="290"/>
      <c r="K20" s="290"/>
      <c r="L20" s="290"/>
      <c r="M20" s="290"/>
      <c r="N20" s="290"/>
      <c r="O20" s="290"/>
      <c r="P20" s="291"/>
      <c r="Q20" s="291"/>
      <c r="R20" s="292"/>
      <c r="S20" s="293"/>
      <c r="T20" s="298"/>
      <c r="U20" s="298"/>
      <c r="V20" s="298"/>
      <c r="W20" s="296"/>
      <c r="X20" s="296"/>
      <c r="Y20" s="299"/>
      <c r="Z20" s="300"/>
      <c r="AA20" s="298"/>
      <c r="AB20" s="297"/>
      <c r="AC20" s="301"/>
      <c r="AD20" s="302"/>
      <c r="AE20" s="210"/>
    </row>
    <row r="21" spans="1:31" ht="12" customHeight="1">
      <c r="A21" s="143"/>
      <c r="B21" s="143"/>
      <c r="C21" s="143">
        <v>3</v>
      </c>
      <c r="D21" s="294"/>
      <c r="E21" s="295"/>
      <c r="F21" s="295"/>
      <c r="G21" s="295"/>
      <c r="H21" s="295"/>
      <c r="I21" s="290"/>
      <c r="J21" s="290"/>
      <c r="K21" s="290"/>
      <c r="L21" s="290"/>
      <c r="M21" s="290"/>
      <c r="N21" s="290"/>
      <c r="O21" s="290"/>
      <c r="P21" s="291"/>
      <c r="Q21" s="291"/>
      <c r="R21" s="292"/>
      <c r="S21" s="293"/>
      <c r="T21" s="298"/>
      <c r="U21" s="298"/>
      <c r="V21" s="298"/>
      <c r="W21" s="296"/>
      <c r="X21" s="296"/>
      <c r="Y21" s="299"/>
      <c r="Z21" s="300"/>
      <c r="AA21" s="298"/>
      <c r="AB21" s="297"/>
      <c r="AC21" s="301"/>
      <c r="AD21" s="302"/>
      <c r="AE21" s="182"/>
    </row>
    <row r="22" spans="1:31" ht="12" customHeight="1">
      <c r="A22" s="143"/>
      <c r="B22" s="143" t="s">
        <v>1504</v>
      </c>
      <c r="C22" s="143">
        <v>3</v>
      </c>
      <c r="D22" s="294"/>
      <c r="E22" s="295"/>
      <c r="F22" s="295"/>
      <c r="G22" s="295"/>
      <c r="H22" s="295"/>
      <c r="I22" s="295"/>
      <c r="J22" s="295"/>
      <c r="K22" s="295"/>
      <c r="L22" s="295"/>
      <c r="M22" s="295"/>
      <c r="N22" s="295"/>
      <c r="O22" s="295"/>
      <c r="P22" s="296"/>
      <c r="Q22" s="296"/>
      <c r="R22" s="297"/>
      <c r="S22" s="298"/>
      <c r="T22" s="298"/>
      <c r="U22" s="298"/>
      <c r="V22" s="298"/>
      <c r="W22" s="296"/>
      <c r="X22" s="296"/>
      <c r="Y22" s="299"/>
      <c r="Z22" s="300"/>
      <c r="AA22" s="298"/>
      <c r="AB22" s="297"/>
      <c r="AC22" s="301"/>
      <c r="AD22" s="302"/>
      <c r="AE22" s="210"/>
    </row>
    <row r="23" spans="1:31" ht="12" customHeight="1">
      <c r="A23" s="143"/>
      <c r="B23" s="143"/>
      <c r="C23" s="143">
        <v>4</v>
      </c>
      <c r="D23" s="294"/>
      <c r="E23" s="295"/>
      <c r="F23" s="295"/>
      <c r="G23" s="295"/>
      <c r="H23" s="295"/>
      <c r="I23" s="295"/>
      <c r="J23" s="295"/>
      <c r="K23" s="295"/>
      <c r="L23" s="295"/>
      <c r="M23" s="295"/>
      <c r="N23" s="295"/>
      <c r="O23" s="295"/>
      <c r="P23" s="296"/>
      <c r="Q23" s="296"/>
      <c r="R23" s="297"/>
      <c r="S23" s="298"/>
      <c r="T23" s="298"/>
      <c r="U23" s="298"/>
      <c r="V23" s="298"/>
      <c r="W23" s="296"/>
      <c r="X23" s="296"/>
      <c r="Y23" s="299"/>
      <c r="Z23" s="300"/>
      <c r="AA23" s="298"/>
      <c r="AB23" s="297"/>
      <c r="AC23" s="301"/>
      <c r="AD23" s="302"/>
      <c r="AE23" s="209"/>
    </row>
    <row r="24" spans="1:31" ht="12" customHeight="1">
      <c r="A24" s="143"/>
      <c r="B24" s="143"/>
      <c r="C24" s="143">
        <v>4</v>
      </c>
      <c r="D24" s="294"/>
      <c r="E24" s="295"/>
      <c r="F24" s="295"/>
      <c r="G24" s="295"/>
      <c r="H24" s="295"/>
      <c r="I24" s="295"/>
      <c r="J24" s="295"/>
      <c r="K24" s="295"/>
      <c r="L24" s="295"/>
      <c r="M24" s="295"/>
      <c r="N24" s="295"/>
      <c r="O24" s="295"/>
      <c r="P24" s="296"/>
      <c r="Q24" s="296"/>
      <c r="R24" s="297"/>
      <c r="S24" s="298"/>
      <c r="T24" s="298"/>
      <c r="U24" s="298"/>
      <c r="V24" s="298"/>
      <c r="W24" s="296"/>
      <c r="X24" s="296"/>
      <c r="Y24" s="299"/>
      <c r="Z24" s="300"/>
      <c r="AA24" s="298"/>
      <c r="AB24" s="297"/>
      <c r="AC24" s="301"/>
      <c r="AD24" s="302"/>
      <c r="AE24" s="209"/>
    </row>
    <row r="25" spans="1:31" ht="12" customHeight="1">
      <c r="A25" s="143"/>
      <c r="B25" s="143" t="s">
        <v>1504</v>
      </c>
      <c r="C25" s="143">
        <v>2</v>
      </c>
      <c r="D25" s="294"/>
      <c r="E25" s="295"/>
      <c r="F25" s="295"/>
      <c r="G25" s="295"/>
      <c r="H25" s="295"/>
      <c r="I25" s="295"/>
      <c r="J25" s="295"/>
      <c r="K25" s="295"/>
      <c r="L25" s="295"/>
      <c r="M25" s="295"/>
      <c r="N25" s="295"/>
      <c r="O25" s="295"/>
      <c r="P25" s="296"/>
      <c r="Q25" s="296"/>
      <c r="R25" s="297"/>
      <c r="S25" s="298"/>
      <c r="T25" s="298"/>
      <c r="U25" s="298"/>
      <c r="V25" s="298"/>
      <c r="W25" s="296"/>
      <c r="X25" s="296"/>
      <c r="Y25" s="299"/>
      <c r="Z25" s="300"/>
      <c r="AA25" s="298"/>
      <c r="AB25" s="297"/>
      <c r="AC25" s="301"/>
      <c r="AD25" s="302"/>
      <c r="AE25" s="210"/>
    </row>
    <row r="26" spans="1:31" ht="12" customHeight="1">
      <c r="A26" s="143"/>
      <c r="B26" s="143"/>
      <c r="C26" s="143">
        <v>3</v>
      </c>
      <c r="D26" s="294"/>
      <c r="E26" s="295"/>
      <c r="F26" s="295"/>
      <c r="G26" s="295"/>
      <c r="H26" s="295"/>
      <c r="I26" s="295"/>
      <c r="J26" s="295"/>
      <c r="K26" s="295"/>
      <c r="L26" s="295"/>
      <c r="M26" s="295"/>
      <c r="N26" s="295"/>
      <c r="O26" s="295"/>
      <c r="P26" s="296"/>
      <c r="Q26" s="296"/>
      <c r="R26" s="297"/>
      <c r="S26" s="298"/>
      <c r="T26" s="298"/>
      <c r="U26" s="298"/>
      <c r="V26" s="298"/>
      <c r="W26" s="296"/>
      <c r="X26" s="296"/>
      <c r="Y26" s="299"/>
      <c r="Z26" s="300"/>
      <c r="AA26" s="298"/>
      <c r="AB26" s="297"/>
      <c r="AC26" s="301"/>
      <c r="AD26" s="302"/>
      <c r="AE26" s="209"/>
    </row>
    <row r="27" spans="1:31" ht="12" customHeight="1">
      <c r="A27" s="143"/>
      <c r="B27" s="143" t="s">
        <v>1504</v>
      </c>
      <c r="C27" s="143">
        <v>3</v>
      </c>
      <c r="D27" s="294"/>
      <c r="E27" s="295"/>
      <c r="F27" s="295"/>
      <c r="G27" s="295"/>
      <c r="H27" s="295"/>
      <c r="I27" s="295"/>
      <c r="J27" s="295"/>
      <c r="K27" s="295"/>
      <c r="L27" s="295"/>
      <c r="M27" s="295"/>
      <c r="N27" s="295"/>
      <c r="O27" s="295"/>
      <c r="P27" s="296"/>
      <c r="Q27" s="296"/>
      <c r="R27" s="297"/>
      <c r="S27" s="298"/>
      <c r="T27" s="298"/>
      <c r="U27" s="298"/>
      <c r="V27" s="298"/>
      <c r="W27" s="296"/>
      <c r="X27" s="296"/>
      <c r="Y27" s="299"/>
      <c r="Z27" s="300"/>
      <c r="AA27" s="298"/>
      <c r="AB27" s="297"/>
      <c r="AC27" s="301"/>
      <c r="AD27" s="302"/>
      <c r="AE27" s="210"/>
    </row>
    <row r="28" spans="1:31" ht="12" customHeight="1">
      <c r="A28" s="143"/>
      <c r="B28" s="143"/>
      <c r="C28" s="143">
        <v>4</v>
      </c>
      <c r="D28" s="294"/>
      <c r="E28" s="295"/>
      <c r="F28" s="295"/>
      <c r="G28" s="295"/>
      <c r="H28" s="295"/>
      <c r="I28" s="295"/>
      <c r="J28" s="295"/>
      <c r="K28" s="295"/>
      <c r="L28" s="295"/>
      <c r="M28" s="295"/>
      <c r="N28" s="295"/>
      <c r="O28" s="295"/>
      <c r="P28" s="296"/>
      <c r="Q28" s="296"/>
      <c r="R28" s="297"/>
      <c r="S28" s="298"/>
      <c r="T28" s="298"/>
      <c r="U28" s="298"/>
      <c r="V28" s="298"/>
      <c r="W28" s="296"/>
      <c r="X28" s="296"/>
      <c r="Y28" s="299"/>
      <c r="Z28" s="300"/>
      <c r="AA28" s="298"/>
      <c r="AB28" s="297"/>
      <c r="AC28" s="301"/>
      <c r="AD28" s="302"/>
      <c r="AE28" s="209"/>
    </row>
    <row r="29" spans="1:31" ht="12" customHeight="1">
      <c r="A29" s="143"/>
      <c r="B29" s="143"/>
      <c r="C29" s="143">
        <v>4</v>
      </c>
      <c r="D29" s="294"/>
      <c r="E29" s="295"/>
      <c r="F29" s="295"/>
      <c r="G29" s="295"/>
      <c r="H29" s="295"/>
      <c r="I29" s="295"/>
      <c r="J29" s="295"/>
      <c r="K29" s="295"/>
      <c r="L29" s="295"/>
      <c r="M29" s="295"/>
      <c r="N29" s="295"/>
      <c r="O29" s="295"/>
      <c r="P29" s="296"/>
      <c r="Q29" s="296"/>
      <c r="R29" s="297"/>
      <c r="S29" s="298"/>
      <c r="T29" s="298"/>
      <c r="U29" s="298"/>
      <c r="V29" s="298"/>
      <c r="W29" s="296"/>
      <c r="X29" s="296"/>
      <c r="Y29" s="299"/>
      <c r="Z29" s="300"/>
      <c r="AA29" s="298"/>
      <c r="AB29" s="297"/>
      <c r="AC29" s="301"/>
      <c r="AD29" s="302"/>
      <c r="AE29" s="209"/>
    </row>
    <row r="30" spans="1:31" ht="12" customHeight="1">
      <c r="A30" s="143"/>
      <c r="B30" s="143"/>
      <c r="C30" s="143">
        <v>4</v>
      </c>
      <c r="D30" s="294"/>
      <c r="E30" s="295"/>
      <c r="F30" s="295"/>
      <c r="G30" s="295"/>
      <c r="H30" s="295"/>
      <c r="I30" s="295"/>
      <c r="J30" s="295"/>
      <c r="K30" s="295"/>
      <c r="L30" s="295"/>
      <c r="M30" s="295"/>
      <c r="N30" s="295"/>
      <c r="O30" s="295"/>
      <c r="P30" s="296"/>
      <c r="Q30" s="296"/>
      <c r="R30" s="297"/>
      <c r="S30" s="298"/>
      <c r="T30" s="298"/>
      <c r="U30" s="298"/>
      <c r="V30" s="298"/>
      <c r="W30" s="296"/>
      <c r="X30" s="296"/>
      <c r="Y30" s="299"/>
      <c r="Z30" s="300"/>
      <c r="AA30" s="298"/>
      <c r="AB30" s="297"/>
      <c r="AC30" s="301"/>
      <c r="AD30" s="302"/>
      <c r="AE30" s="209"/>
    </row>
    <row r="31" spans="1:31" ht="12" customHeight="1">
      <c r="A31" s="143"/>
      <c r="B31" s="143"/>
      <c r="C31" s="143">
        <v>3</v>
      </c>
      <c r="D31" s="294"/>
      <c r="E31" s="295"/>
      <c r="F31" s="295"/>
      <c r="G31" s="295"/>
      <c r="H31" s="295"/>
      <c r="I31" s="295"/>
      <c r="J31" s="295"/>
      <c r="K31" s="295"/>
      <c r="L31" s="295"/>
      <c r="M31" s="295"/>
      <c r="N31" s="295"/>
      <c r="O31" s="295"/>
      <c r="P31" s="296"/>
      <c r="Q31" s="296"/>
      <c r="R31" s="297"/>
      <c r="S31" s="298"/>
      <c r="T31" s="298"/>
      <c r="U31" s="298"/>
      <c r="V31" s="298"/>
      <c r="W31" s="296"/>
      <c r="X31" s="296"/>
      <c r="Y31" s="299"/>
      <c r="Z31" s="300"/>
      <c r="AA31" s="298"/>
      <c r="AB31" s="297"/>
      <c r="AC31" s="301"/>
      <c r="AD31" s="302"/>
      <c r="AE31" s="209"/>
    </row>
    <row r="32" spans="1:31" ht="12" customHeight="1">
      <c r="A32" s="143"/>
      <c r="B32" s="143" t="s">
        <v>1504</v>
      </c>
      <c r="C32" s="143">
        <v>2</v>
      </c>
      <c r="D32" s="294"/>
      <c r="E32" s="295"/>
      <c r="F32" s="295"/>
      <c r="G32" s="295"/>
      <c r="H32" s="295"/>
      <c r="I32" s="295"/>
      <c r="J32" s="295"/>
      <c r="K32" s="295"/>
      <c r="L32" s="295"/>
      <c r="M32" s="295"/>
      <c r="N32" s="295"/>
      <c r="O32" s="295"/>
      <c r="P32" s="296"/>
      <c r="Q32" s="296"/>
      <c r="R32" s="297"/>
      <c r="S32" s="298"/>
      <c r="T32" s="298"/>
      <c r="U32" s="298"/>
      <c r="V32" s="298"/>
      <c r="W32" s="296"/>
      <c r="X32" s="296"/>
      <c r="Y32" s="299"/>
      <c r="Z32" s="300"/>
      <c r="AA32" s="298"/>
      <c r="AB32" s="297"/>
      <c r="AC32" s="301"/>
      <c r="AD32" s="302"/>
      <c r="AE32" s="210"/>
    </row>
    <row r="33" spans="1:31" ht="12" customHeight="1">
      <c r="A33" s="143"/>
      <c r="B33" s="143" t="s">
        <v>1504</v>
      </c>
      <c r="C33" s="143">
        <v>3</v>
      </c>
      <c r="D33" s="294"/>
      <c r="E33" s="295"/>
      <c r="F33" s="295"/>
      <c r="G33" s="295"/>
      <c r="H33" s="295"/>
      <c r="I33" s="295"/>
      <c r="J33" s="295"/>
      <c r="K33" s="295"/>
      <c r="L33" s="295"/>
      <c r="M33" s="295"/>
      <c r="N33" s="295"/>
      <c r="O33" s="295"/>
      <c r="P33" s="296"/>
      <c r="Q33" s="296"/>
      <c r="R33" s="297"/>
      <c r="S33" s="298"/>
      <c r="T33" s="298"/>
      <c r="U33" s="298"/>
      <c r="V33" s="298"/>
      <c r="W33" s="296"/>
      <c r="X33" s="296"/>
      <c r="Y33" s="299"/>
      <c r="Z33" s="300"/>
      <c r="AA33" s="298"/>
      <c r="AB33" s="297"/>
      <c r="AC33" s="301"/>
      <c r="AD33" s="302"/>
      <c r="AE33" s="210"/>
    </row>
    <row r="34" spans="1:31" ht="12" customHeight="1">
      <c r="A34" s="143"/>
      <c r="B34" s="143"/>
      <c r="C34" s="143">
        <v>4</v>
      </c>
      <c r="D34" s="294"/>
      <c r="E34" s="295"/>
      <c r="F34" s="295"/>
      <c r="G34" s="295"/>
      <c r="H34" s="295"/>
      <c r="I34" s="295"/>
      <c r="J34" s="295"/>
      <c r="K34" s="295"/>
      <c r="L34" s="295"/>
      <c r="M34" s="295"/>
      <c r="N34" s="295"/>
      <c r="O34" s="295"/>
      <c r="P34" s="296"/>
      <c r="Q34" s="296"/>
      <c r="R34" s="297"/>
      <c r="S34" s="298"/>
      <c r="T34" s="298"/>
      <c r="U34" s="298"/>
      <c r="V34" s="298"/>
      <c r="W34" s="296"/>
      <c r="X34" s="296"/>
      <c r="Y34" s="299"/>
      <c r="Z34" s="300"/>
      <c r="AA34" s="298"/>
      <c r="AB34" s="297"/>
      <c r="AC34" s="301"/>
      <c r="AD34" s="302"/>
      <c r="AE34" s="209"/>
    </row>
    <row r="35" spans="1:31" ht="12" customHeight="1">
      <c r="A35" s="143"/>
      <c r="B35" s="143" t="s">
        <v>1504</v>
      </c>
      <c r="C35" s="143">
        <v>4</v>
      </c>
      <c r="D35" s="294"/>
      <c r="E35" s="295"/>
      <c r="F35" s="295"/>
      <c r="G35" s="295"/>
      <c r="H35" s="295"/>
      <c r="I35" s="295"/>
      <c r="J35" s="295"/>
      <c r="K35" s="295"/>
      <c r="L35" s="295"/>
      <c r="M35" s="295"/>
      <c r="N35" s="295"/>
      <c r="O35" s="295"/>
      <c r="P35" s="296"/>
      <c r="Q35" s="296"/>
      <c r="R35" s="297"/>
      <c r="S35" s="298"/>
      <c r="T35" s="298"/>
      <c r="U35" s="298"/>
      <c r="V35" s="298"/>
      <c r="W35" s="296"/>
      <c r="X35" s="296"/>
      <c r="Y35" s="299"/>
      <c r="Z35" s="300"/>
      <c r="AA35" s="298"/>
      <c r="AB35" s="297"/>
      <c r="AC35" s="301"/>
      <c r="AD35" s="302"/>
      <c r="AE35" s="210"/>
    </row>
    <row r="36" spans="1:31" ht="12" customHeight="1">
      <c r="A36" s="143"/>
      <c r="B36" s="143" t="s">
        <v>1504</v>
      </c>
      <c r="C36" s="143">
        <v>5</v>
      </c>
      <c r="D36" s="294"/>
      <c r="E36" s="295"/>
      <c r="F36" s="295"/>
      <c r="G36" s="295"/>
      <c r="H36" s="295"/>
      <c r="I36" s="295"/>
      <c r="J36" s="295"/>
      <c r="K36" s="295"/>
      <c r="L36" s="295"/>
      <c r="M36" s="295"/>
      <c r="N36" s="295"/>
      <c r="O36" s="295"/>
      <c r="P36" s="296"/>
      <c r="Q36" s="296"/>
      <c r="R36" s="297"/>
      <c r="S36" s="298"/>
      <c r="T36" s="298"/>
      <c r="U36" s="298"/>
      <c r="V36" s="298"/>
      <c r="W36" s="296"/>
      <c r="X36" s="296"/>
      <c r="Y36" s="299"/>
      <c r="Z36" s="300"/>
      <c r="AA36" s="298"/>
      <c r="AB36" s="297"/>
      <c r="AC36" s="301"/>
      <c r="AD36" s="302"/>
      <c r="AE36" s="210"/>
    </row>
    <row r="37" spans="1:31" ht="12" customHeight="1">
      <c r="A37" s="143"/>
      <c r="B37" s="143"/>
      <c r="C37" s="143">
        <v>6</v>
      </c>
      <c r="D37" s="294"/>
      <c r="E37" s="295"/>
      <c r="F37" s="295"/>
      <c r="G37" s="295"/>
      <c r="H37" s="295"/>
      <c r="I37" s="295"/>
      <c r="J37" s="295"/>
      <c r="K37" s="295"/>
      <c r="L37" s="295"/>
      <c r="M37" s="295"/>
      <c r="N37" s="295"/>
      <c r="O37" s="295"/>
      <c r="P37" s="296"/>
      <c r="Q37" s="296"/>
      <c r="R37" s="297"/>
      <c r="S37" s="298"/>
      <c r="T37" s="298"/>
      <c r="U37" s="298"/>
      <c r="V37" s="298"/>
      <c r="W37" s="296"/>
      <c r="X37" s="296"/>
      <c r="Y37" s="299"/>
      <c r="Z37" s="300"/>
      <c r="AA37" s="298"/>
      <c r="AB37" s="297"/>
      <c r="AC37" s="301"/>
      <c r="AD37" s="302"/>
      <c r="AE37" s="209"/>
    </row>
    <row r="38" spans="1:31" ht="12" customHeight="1">
      <c r="A38" s="143"/>
      <c r="B38" s="143"/>
      <c r="C38" s="143">
        <v>6</v>
      </c>
      <c r="D38" s="294"/>
      <c r="E38" s="295"/>
      <c r="F38" s="295"/>
      <c r="G38" s="295"/>
      <c r="H38" s="295"/>
      <c r="I38" s="295"/>
      <c r="J38" s="295"/>
      <c r="K38" s="295"/>
      <c r="L38" s="295"/>
      <c r="M38" s="295"/>
      <c r="N38" s="295"/>
      <c r="O38" s="295"/>
      <c r="P38" s="296"/>
      <c r="Q38" s="296"/>
      <c r="R38" s="297"/>
      <c r="S38" s="298"/>
      <c r="T38" s="298"/>
      <c r="U38" s="298"/>
      <c r="V38" s="298"/>
      <c r="W38" s="296"/>
      <c r="X38" s="296"/>
      <c r="Y38" s="299"/>
      <c r="Z38" s="300"/>
      <c r="AA38" s="298"/>
      <c r="AB38" s="297"/>
      <c r="AC38" s="301"/>
      <c r="AD38" s="302"/>
      <c r="AE38" s="209"/>
    </row>
    <row r="39" spans="1:31" ht="12" customHeight="1">
      <c r="A39" s="143"/>
      <c r="B39" s="143"/>
      <c r="C39" s="143">
        <v>6</v>
      </c>
      <c r="D39" s="294"/>
      <c r="E39" s="295"/>
      <c r="F39" s="295"/>
      <c r="G39" s="295"/>
      <c r="H39" s="295"/>
      <c r="I39" s="295"/>
      <c r="J39" s="295"/>
      <c r="K39" s="295"/>
      <c r="L39" s="295"/>
      <c r="M39" s="295"/>
      <c r="N39" s="295"/>
      <c r="O39" s="295"/>
      <c r="P39" s="296"/>
      <c r="Q39" s="296"/>
      <c r="R39" s="297"/>
      <c r="S39" s="298"/>
      <c r="T39" s="298"/>
      <c r="U39" s="298"/>
      <c r="V39" s="298"/>
      <c r="W39" s="296"/>
      <c r="X39" s="296"/>
      <c r="Y39" s="299"/>
      <c r="Z39" s="300"/>
      <c r="AA39" s="298"/>
      <c r="AB39" s="297"/>
      <c r="AC39" s="301"/>
      <c r="AD39" s="302"/>
      <c r="AE39" s="209"/>
    </row>
    <row r="40" spans="1:31" ht="12" customHeight="1">
      <c r="A40" s="143"/>
      <c r="B40" s="143"/>
      <c r="C40" s="143">
        <v>5</v>
      </c>
      <c r="D40" s="294"/>
      <c r="E40" s="295"/>
      <c r="F40" s="295"/>
      <c r="G40" s="295"/>
      <c r="H40" s="295"/>
      <c r="I40" s="295"/>
      <c r="J40" s="295"/>
      <c r="K40" s="295"/>
      <c r="L40" s="295"/>
      <c r="M40" s="295"/>
      <c r="N40" s="295"/>
      <c r="O40" s="295"/>
      <c r="P40" s="296"/>
      <c r="Q40" s="296"/>
      <c r="R40" s="297"/>
      <c r="S40" s="298"/>
      <c r="T40" s="298"/>
      <c r="U40" s="298"/>
      <c r="V40" s="298"/>
      <c r="W40" s="296"/>
      <c r="X40" s="296"/>
      <c r="Y40" s="299"/>
      <c r="Z40" s="300"/>
      <c r="AA40" s="298"/>
      <c r="AB40" s="297"/>
      <c r="AC40" s="301"/>
      <c r="AD40" s="302"/>
      <c r="AE40" s="209"/>
    </row>
    <row r="41" spans="1:31" ht="12" customHeight="1">
      <c r="A41" s="143"/>
      <c r="B41" s="143"/>
      <c r="C41" s="143">
        <v>5</v>
      </c>
      <c r="D41" s="294"/>
      <c r="E41" s="295"/>
      <c r="F41" s="295"/>
      <c r="G41" s="295"/>
      <c r="H41" s="295"/>
      <c r="I41" s="295"/>
      <c r="J41" s="295"/>
      <c r="K41" s="295"/>
      <c r="L41" s="295"/>
      <c r="M41" s="295"/>
      <c r="N41" s="295"/>
      <c r="O41" s="295"/>
      <c r="P41" s="296"/>
      <c r="Q41" s="296"/>
      <c r="R41" s="297"/>
      <c r="S41" s="298"/>
      <c r="T41" s="298"/>
      <c r="U41" s="298"/>
      <c r="V41" s="298"/>
      <c r="W41" s="296"/>
      <c r="X41" s="296"/>
      <c r="Y41" s="299"/>
      <c r="Z41" s="300"/>
      <c r="AA41" s="298"/>
      <c r="AB41" s="297"/>
      <c r="AC41" s="301"/>
      <c r="AD41" s="302"/>
      <c r="AE41" s="209"/>
    </row>
    <row r="42" spans="1:31" ht="12" customHeight="1">
      <c r="A42" s="143"/>
      <c r="B42" s="143"/>
      <c r="C42" s="143">
        <v>5</v>
      </c>
      <c r="D42" s="294"/>
      <c r="E42" s="295"/>
      <c r="F42" s="295"/>
      <c r="G42" s="295"/>
      <c r="H42" s="295"/>
      <c r="I42" s="295"/>
      <c r="J42" s="295"/>
      <c r="K42" s="295"/>
      <c r="L42" s="295"/>
      <c r="M42" s="295"/>
      <c r="N42" s="295"/>
      <c r="O42" s="295"/>
      <c r="P42" s="296"/>
      <c r="Q42" s="296"/>
      <c r="R42" s="297"/>
      <c r="S42" s="298"/>
      <c r="T42" s="298"/>
      <c r="U42" s="298"/>
      <c r="V42" s="298"/>
      <c r="W42" s="296"/>
      <c r="X42" s="296"/>
      <c r="Y42" s="299"/>
      <c r="Z42" s="300"/>
      <c r="AA42" s="298"/>
      <c r="AB42" s="297"/>
      <c r="AC42" s="301"/>
      <c r="AD42" s="302"/>
      <c r="AE42" s="209"/>
    </row>
    <row r="43" spans="1:31" ht="12" customHeight="1">
      <c r="A43" s="143"/>
      <c r="B43" s="143" t="s">
        <v>1504</v>
      </c>
      <c r="C43" s="143">
        <v>3</v>
      </c>
      <c r="D43" s="294"/>
      <c r="E43" s="295"/>
      <c r="F43" s="295"/>
      <c r="G43" s="295"/>
      <c r="H43" s="295"/>
      <c r="I43" s="295"/>
      <c r="J43" s="295"/>
      <c r="K43" s="295"/>
      <c r="L43" s="295"/>
      <c r="M43" s="295"/>
      <c r="N43" s="295"/>
      <c r="O43" s="295"/>
      <c r="P43" s="296"/>
      <c r="Q43" s="296"/>
      <c r="R43" s="297"/>
      <c r="S43" s="298"/>
      <c r="T43" s="298"/>
      <c r="U43" s="298"/>
      <c r="V43" s="298"/>
      <c r="W43" s="296"/>
      <c r="X43" s="296"/>
      <c r="Y43" s="299"/>
      <c r="Z43" s="300"/>
      <c r="AA43" s="298"/>
      <c r="AB43" s="297"/>
      <c r="AC43" s="301"/>
      <c r="AD43" s="302"/>
      <c r="AE43" s="208"/>
    </row>
    <row r="44" spans="1:31" ht="12" customHeight="1">
      <c r="A44" s="143"/>
      <c r="B44" s="143"/>
      <c r="C44" s="143">
        <v>4</v>
      </c>
      <c r="D44" s="294"/>
      <c r="E44" s="295"/>
      <c r="F44" s="295"/>
      <c r="G44" s="295"/>
      <c r="H44" s="295"/>
      <c r="I44" s="295"/>
      <c r="J44" s="295"/>
      <c r="K44" s="295"/>
      <c r="L44" s="295"/>
      <c r="M44" s="295"/>
      <c r="N44" s="295"/>
      <c r="O44" s="295"/>
      <c r="P44" s="296"/>
      <c r="Q44" s="296"/>
      <c r="R44" s="297"/>
      <c r="S44" s="298"/>
      <c r="T44" s="298"/>
      <c r="U44" s="298"/>
      <c r="V44" s="298"/>
      <c r="W44" s="296"/>
      <c r="X44" s="296"/>
      <c r="Y44" s="299"/>
      <c r="Z44" s="300"/>
      <c r="AA44" s="298"/>
      <c r="AB44" s="297"/>
      <c r="AC44" s="301"/>
      <c r="AD44" s="302"/>
      <c r="AE44" s="182"/>
    </row>
    <row r="45" spans="1:31" ht="12" customHeight="1">
      <c r="A45" s="143"/>
      <c r="B45" s="143"/>
      <c r="C45" s="143">
        <v>4</v>
      </c>
      <c r="D45" s="294"/>
      <c r="E45" s="295"/>
      <c r="F45" s="295"/>
      <c r="G45" s="295"/>
      <c r="H45" s="295"/>
      <c r="I45" s="295"/>
      <c r="J45" s="295"/>
      <c r="K45" s="295"/>
      <c r="L45" s="295"/>
      <c r="M45" s="295"/>
      <c r="N45" s="295"/>
      <c r="O45" s="295"/>
      <c r="P45" s="296"/>
      <c r="Q45" s="296"/>
      <c r="R45" s="297"/>
      <c r="S45" s="298"/>
      <c r="T45" s="298"/>
      <c r="U45" s="298"/>
      <c r="V45" s="298"/>
      <c r="W45" s="296"/>
      <c r="X45" s="296"/>
      <c r="Y45" s="299"/>
      <c r="Z45" s="300"/>
      <c r="AA45" s="298"/>
      <c r="AB45" s="297"/>
      <c r="AC45" s="301"/>
      <c r="AD45" s="302"/>
      <c r="AE45" s="182"/>
    </row>
    <row r="46" spans="1:31" ht="12" customHeight="1">
      <c r="A46" s="143"/>
      <c r="B46" s="143" t="s">
        <v>1504</v>
      </c>
      <c r="C46" s="143">
        <v>2</v>
      </c>
      <c r="D46" s="294"/>
      <c r="E46" s="295"/>
      <c r="F46" s="295"/>
      <c r="G46" s="295"/>
      <c r="H46" s="295"/>
      <c r="I46" s="295"/>
      <c r="J46" s="295"/>
      <c r="K46" s="295"/>
      <c r="L46" s="295"/>
      <c r="M46" s="295"/>
      <c r="N46" s="295"/>
      <c r="O46" s="295"/>
      <c r="P46" s="296"/>
      <c r="Q46" s="296"/>
      <c r="R46" s="297"/>
      <c r="S46" s="298"/>
      <c r="T46" s="298"/>
      <c r="U46" s="298"/>
      <c r="V46" s="298"/>
      <c r="W46" s="296"/>
      <c r="X46" s="296"/>
      <c r="Y46" s="299"/>
      <c r="Z46" s="300"/>
      <c r="AA46" s="298"/>
      <c r="AB46" s="297"/>
      <c r="AC46" s="301"/>
      <c r="AD46" s="302"/>
      <c r="AE46" s="208"/>
    </row>
    <row r="47" spans="1:31" ht="12" customHeight="1">
      <c r="A47" s="143"/>
      <c r="B47" s="143" t="s">
        <v>1504</v>
      </c>
      <c r="C47" s="143">
        <v>3</v>
      </c>
      <c r="D47" s="294"/>
      <c r="E47" s="295"/>
      <c r="F47" s="295"/>
      <c r="G47" s="295"/>
      <c r="H47" s="295"/>
      <c r="I47" s="295"/>
      <c r="J47" s="295"/>
      <c r="K47" s="295"/>
      <c r="L47" s="295"/>
      <c r="M47" s="295"/>
      <c r="N47" s="295"/>
      <c r="O47" s="295"/>
      <c r="P47" s="296"/>
      <c r="Q47" s="296"/>
      <c r="R47" s="297"/>
      <c r="S47" s="298"/>
      <c r="T47" s="298"/>
      <c r="U47" s="298"/>
      <c r="V47" s="298"/>
      <c r="W47" s="296"/>
      <c r="X47" s="296"/>
      <c r="Y47" s="299"/>
      <c r="Z47" s="300"/>
      <c r="AA47" s="298"/>
      <c r="AB47" s="297"/>
      <c r="AC47" s="301"/>
      <c r="AD47" s="302"/>
      <c r="AE47" s="208"/>
    </row>
    <row r="48" spans="1:31" ht="12" customHeight="1">
      <c r="A48" s="143"/>
      <c r="B48" s="143"/>
      <c r="C48" s="143">
        <v>4</v>
      </c>
      <c r="D48" s="294"/>
      <c r="E48" s="295"/>
      <c r="F48" s="295"/>
      <c r="G48" s="295"/>
      <c r="H48" s="295"/>
      <c r="I48" s="295"/>
      <c r="J48" s="295"/>
      <c r="K48" s="295"/>
      <c r="L48" s="295"/>
      <c r="M48" s="295"/>
      <c r="N48" s="295"/>
      <c r="O48" s="295"/>
      <c r="P48" s="296"/>
      <c r="Q48" s="296"/>
      <c r="R48" s="297"/>
      <c r="S48" s="298"/>
      <c r="T48" s="298"/>
      <c r="U48" s="298"/>
      <c r="V48" s="298"/>
      <c r="W48" s="296"/>
      <c r="X48" s="296"/>
      <c r="Y48" s="299"/>
      <c r="Z48" s="300"/>
      <c r="AA48" s="298"/>
      <c r="AB48" s="297"/>
      <c r="AC48" s="301"/>
      <c r="AD48" s="302"/>
      <c r="AE48" s="182"/>
    </row>
    <row r="49" spans="1:31" ht="12" customHeight="1">
      <c r="A49" s="143"/>
      <c r="B49" s="143" t="s">
        <v>1504</v>
      </c>
      <c r="C49" s="143">
        <v>3</v>
      </c>
      <c r="D49" s="294"/>
      <c r="E49" s="295"/>
      <c r="F49" s="295"/>
      <c r="G49" s="295"/>
      <c r="H49" s="295"/>
      <c r="I49" s="295"/>
      <c r="J49" s="295"/>
      <c r="K49" s="295"/>
      <c r="L49" s="295"/>
      <c r="M49" s="295"/>
      <c r="N49" s="295"/>
      <c r="O49" s="295"/>
      <c r="P49" s="296"/>
      <c r="Q49" s="296"/>
      <c r="R49" s="297"/>
      <c r="S49" s="298"/>
      <c r="T49" s="298"/>
      <c r="U49" s="298"/>
      <c r="V49" s="298"/>
      <c r="W49" s="296"/>
      <c r="X49" s="296"/>
      <c r="Y49" s="299"/>
      <c r="Z49" s="300"/>
      <c r="AA49" s="298"/>
      <c r="AB49" s="297"/>
      <c r="AC49" s="301"/>
      <c r="AD49" s="302"/>
      <c r="AE49" s="208"/>
    </row>
    <row r="50" spans="1:31" ht="12" customHeight="1">
      <c r="A50" s="143"/>
      <c r="B50" s="143"/>
      <c r="C50" s="143">
        <v>4</v>
      </c>
      <c r="D50" s="294"/>
      <c r="E50" s="295"/>
      <c r="F50" s="295"/>
      <c r="G50" s="295"/>
      <c r="H50" s="295"/>
      <c r="I50" s="295"/>
      <c r="J50" s="295"/>
      <c r="K50" s="295"/>
      <c r="L50" s="295"/>
      <c r="M50" s="295"/>
      <c r="N50" s="295"/>
      <c r="O50" s="295"/>
      <c r="P50" s="296"/>
      <c r="Q50" s="296"/>
      <c r="R50" s="297"/>
      <c r="S50" s="298"/>
      <c r="T50" s="298"/>
      <c r="U50" s="298"/>
      <c r="V50" s="298"/>
      <c r="W50" s="296"/>
      <c r="X50" s="296"/>
      <c r="Y50" s="299"/>
      <c r="Z50" s="300"/>
      <c r="AA50" s="298"/>
      <c r="AB50" s="297"/>
      <c r="AC50" s="301"/>
      <c r="AD50" s="302"/>
      <c r="AE50" s="182"/>
    </row>
    <row r="51" spans="1:31" ht="12" customHeight="1">
      <c r="A51" s="143"/>
      <c r="B51" s="143"/>
      <c r="C51" s="143">
        <v>4</v>
      </c>
      <c r="D51" s="144"/>
      <c r="E51" s="145"/>
      <c r="F51" s="145"/>
      <c r="G51" s="145"/>
      <c r="H51" s="145"/>
      <c r="I51" s="145"/>
      <c r="J51" s="145"/>
      <c r="K51" s="145"/>
      <c r="L51" s="145"/>
      <c r="M51" s="145"/>
      <c r="N51" s="145"/>
      <c r="O51" s="145"/>
      <c r="P51" s="146"/>
      <c r="Q51" s="146"/>
      <c r="R51" s="147"/>
      <c r="S51" s="148"/>
      <c r="T51" s="148"/>
      <c r="U51" s="148"/>
      <c r="V51" s="148"/>
      <c r="W51" s="146"/>
      <c r="X51" s="146"/>
      <c r="Y51" s="149"/>
      <c r="Z51" s="150"/>
      <c r="AA51" s="148"/>
      <c r="AB51" s="147"/>
      <c r="AC51" s="151"/>
      <c r="AD51" s="152"/>
      <c r="AE51" s="182"/>
    </row>
    <row r="52" spans="1:31" ht="12" customHeight="1">
      <c r="A52" s="143"/>
      <c r="B52" s="143"/>
      <c r="C52" s="143">
        <v>4</v>
      </c>
      <c r="D52" s="144"/>
      <c r="E52" s="145"/>
      <c r="F52" s="145"/>
      <c r="G52" s="145"/>
      <c r="H52" s="145"/>
      <c r="I52" s="145"/>
      <c r="J52" s="145"/>
      <c r="K52" s="145"/>
      <c r="L52" s="145"/>
      <c r="M52" s="145"/>
      <c r="N52" s="145"/>
      <c r="O52" s="145"/>
      <c r="P52" s="146"/>
      <c r="Q52" s="146"/>
      <c r="R52" s="147"/>
      <c r="S52" s="148"/>
      <c r="T52" s="148"/>
      <c r="U52" s="148"/>
      <c r="V52" s="148"/>
      <c r="W52" s="146"/>
      <c r="X52" s="146"/>
      <c r="Y52" s="149"/>
      <c r="Z52" s="150"/>
      <c r="AA52" s="148"/>
      <c r="AB52" s="147"/>
      <c r="AC52" s="151"/>
      <c r="AD52" s="152"/>
      <c r="AE52" s="182"/>
    </row>
    <row r="53" spans="1:31" ht="12" customHeight="1">
      <c r="A53" s="143">
        <v>1</v>
      </c>
      <c r="B53" s="143"/>
      <c r="C53" s="143">
        <v>4</v>
      </c>
      <c r="D53" s="144"/>
      <c r="E53" s="145"/>
      <c r="F53" s="145"/>
      <c r="G53" s="145"/>
      <c r="H53" s="145"/>
      <c r="I53" s="145"/>
      <c r="J53" s="145"/>
      <c r="K53" s="145"/>
      <c r="L53" s="145"/>
      <c r="M53" s="145"/>
      <c r="N53" s="145"/>
      <c r="O53" s="145"/>
      <c r="P53" s="146"/>
      <c r="Q53" s="146"/>
      <c r="R53" s="147"/>
      <c r="S53" s="148"/>
      <c r="T53" s="148"/>
      <c r="U53" s="148"/>
      <c r="V53" s="148"/>
      <c r="W53" s="146"/>
      <c r="X53" s="146"/>
      <c r="Y53" s="149"/>
      <c r="Z53" s="150"/>
      <c r="AA53" s="148"/>
      <c r="AB53" s="147"/>
      <c r="AC53" s="151"/>
      <c r="AD53" s="152"/>
      <c r="AE53" s="182"/>
    </row>
    <row r="54" spans="1:31" ht="12" customHeight="1">
      <c r="A54" s="157"/>
      <c r="B54" s="157"/>
      <c r="C54" s="157"/>
      <c r="D54" s="158"/>
      <c r="E54" s="159"/>
      <c r="F54" s="159"/>
      <c r="G54" s="159"/>
      <c r="H54" s="159"/>
      <c r="I54" s="159"/>
      <c r="J54" s="159"/>
      <c r="K54" s="159"/>
      <c r="L54" s="159"/>
      <c r="M54" s="159"/>
      <c r="N54" s="159"/>
      <c r="O54" s="159"/>
      <c r="P54" s="160"/>
      <c r="Q54" s="160"/>
      <c r="R54" s="161"/>
      <c r="S54" s="162"/>
      <c r="T54" s="162"/>
      <c r="U54" s="162"/>
      <c r="V54" s="162"/>
      <c r="W54" s="160"/>
      <c r="X54" s="160"/>
      <c r="Y54" s="163"/>
      <c r="Z54" s="164"/>
      <c r="AA54" s="162"/>
      <c r="AB54" s="161"/>
      <c r="AC54" s="165"/>
      <c r="AD54" s="166"/>
      <c r="AE54" s="167"/>
    </row>
  </sheetData>
  <sheetProtection formatCells="0" formatColumns="0" formatRows="0" insertColumns="0" insertRows="0" insertHyperlinks="0" deleteColumns="0" deleteRows="0" sort="0" autoFilter="0" pivotTables="0"/>
  <dataConsolidate/>
  <mergeCells count="37">
    <mergeCell ref="BD3:BG3"/>
    <mergeCell ref="BD2:BG2"/>
    <mergeCell ref="AZ3:BC3"/>
    <mergeCell ref="AZ2:BC2"/>
    <mergeCell ref="AJ3:AM3"/>
    <mergeCell ref="AJ2:AM2"/>
    <mergeCell ref="AN3:AQ3"/>
    <mergeCell ref="AN2:AQ2"/>
    <mergeCell ref="AR3:AU3"/>
    <mergeCell ref="AR2:AU2"/>
    <mergeCell ref="AV3:AY3"/>
    <mergeCell ref="AV2:AY2"/>
    <mergeCell ref="AC3:AC4"/>
    <mergeCell ref="AE3:AE4"/>
    <mergeCell ref="AD3:AD4"/>
    <mergeCell ref="AB3:AB4"/>
    <mergeCell ref="A3:A4"/>
    <mergeCell ref="B3:B4"/>
    <mergeCell ref="C3:C4"/>
    <mergeCell ref="D3:D4"/>
    <mergeCell ref="E3:N4"/>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s>
  <phoneticPr fontId="4" type="noConversion"/>
  <conditionalFormatting sqref="D5:AD53">
    <cfRule type="expression" dxfId="2" priority="1">
      <formula>($AE5=1)</formula>
    </cfRule>
    <cfRule type="expression" dxfId="1" priority="2">
      <formula>($B5="G")</formula>
    </cfRule>
  </conditionalFormatting>
  <pageMargins left="0.19685039370078741" right="0.23622047244094491" top="0.43307086614173229" bottom="0.23622047244094491" header="0.23622047244094491" footer="0.19685039370078741"/>
  <pageSetup paperSize="9" scale="83" orientation="landscape" r:id="rId1"/>
  <headerFooter alignWithMargins="0">
    <oddFooter>&amp;L&amp;"-,보통"&amp;9XLGantt ©http://xlworks.net&amp;C&amp;"-,보통"&amp;9&amp;P/&amp;N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1507</v>
      </c>
      <c r="B1" s="2"/>
      <c r="C1" s="2"/>
      <c r="D1" s="2"/>
      <c r="E1" s="2"/>
      <c r="F1" s="2"/>
      <c r="G1" s="2"/>
      <c r="H1" s="2"/>
      <c r="I1" s="2"/>
      <c r="J1" s="2"/>
      <c r="K1" s="2"/>
      <c r="L1" s="278"/>
      <c r="M1" s="279"/>
      <c r="N1" s="279"/>
      <c r="O1" s="3"/>
      <c r="P1" s="3"/>
      <c r="Q1" s="3"/>
    </row>
    <row r="2" spans="1:17" s="7" customFormat="1" ht="12.75">
      <c r="A2" s="5" t="s">
        <v>1454</v>
      </c>
      <c r="B2" s="6"/>
    </row>
    <row r="3" spans="1:17" s="7" customFormat="1" ht="12.75">
      <c r="A3" s="5" t="s">
        <v>1455</v>
      </c>
      <c r="B3" s="6"/>
    </row>
    <row r="4" spans="1:17" s="7" customFormat="1" ht="12.75">
      <c r="A4" s="280"/>
      <c r="B4" s="280"/>
      <c r="C4" s="8"/>
      <c r="D4" s="9"/>
      <c r="E4" s="9"/>
      <c r="F4" s="9"/>
    </row>
    <row r="5" spans="1:17" s="15" customFormat="1" ht="12.75">
      <c r="A5" s="10"/>
      <c r="B5" s="11"/>
      <c r="C5" s="12"/>
      <c r="D5" s="13"/>
      <c r="E5" s="14"/>
      <c r="F5" s="14"/>
      <c r="G5" s="14"/>
    </row>
    <row r="6" spans="1:17" s="15" customFormat="1" ht="12.75">
      <c r="A6" s="16" t="s">
        <v>1456</v>
      </c>
      <c r="B6" s="17">
        <v>0</v>
      </c>
      <c r="C6" s="15" t="s">
        <v>0</v>
      </c>
      <c r="D6" s="277" t="s">
        <v>1457</v>
      </c>
      <c r="E6" s="277"/>
      <c r="F6" s="277"/>
      <c r="G6" s="277"/>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1458</v>
      </c>
      <c r="B9" s="17">
        <v>0</v>
      </c>
      <c r="C9" s="15" t="s">
        <v>0</v>
      </c>
      <c r="D9" s="276" t="s">
        <v>1459</v>
      </c>
      <c r="E9" s="276"/>
      <c r="F9" s="276"/>
      <c r="G9" s="276"/>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1452</v>
      </c>
      <c r="B12" s="17">
        <v>0</v>
      </c>
      <c r="C12" s="15" t="s">
        <v>0</v>
      </c>
      <c r="D12" s="281" t="s">
        <v>1453</v>
      </c>
      <c r="E12" s="276"/>
      <c r="F12" s="276"/>
      <c r="G12" s="276"/>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1460</v>
      </c>
      <c r="B15" s="17">
        <v>0</v>
      </c>
      <c r="C15" s="15" t="s">
        <v>0</v>
      </c>
      <c r="D15" s="276" t="s">
        <v>1461</v>
      </c>
      <c r="E15" s="276"/>
      <c r="F15" s="276"/>
      <c r="G15" s="276"/>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1462</v>
      </c>
      <c r="B18" s="39">
        <v>0</v>
      </c>
      <c r="D18" s="276" t="s">
        <v>1463</v>
      </c>
      <c r="E18" s="276"/>
      <c r="F18" s="276"/>
      <c r="G18" s="276"/>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1464</v>
      </c>
      <c r="B21" s="39">
        <v>0</v>
      </c>
      <c r="D21" s="276" t="s">
        <v>1465</v>
      </c>
      <c r="E21" s="276"/>
      <c r="F21" s="276"/>
      <c r="G21" s="276"/>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1466</v>
      </c>
      <c r="B24" s="49">
        <f>ACTUAL_RATE-PLANNED_RATE</f>
        <v>0</v>
      </c>
      <c r="D24" s="277" t="s">
        <v>1467</v>
      </c>
      <c r="E24" s="277"/>
      <c r="F24" s="277"/>
      <c r="G24" s="277"/>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36" customWidth="1"/>
    <col min="2" max="3" width="10.625" style="136" bestFit="1" customWidth="1"/>
    <col min="4" max="5" width="9.125" style="136"/>
    <col min="6" max="6" width="9.125" style="211"/>
    <col min="7" max="12" width="9.125" style="92"/>
    <col min="13" max="16384" width="9.125" style="136"/>
  </cols>
  <sheetData>
    <row r="1" spans="2:15" ht="36.950000000000003" customHeight="1">
      <c r="B1" s="62" t="s">
        <v>1555</v>
      </c>
    </row>
    <row r="2" spans="2:15">
      <c r="B2" s="136" t="s">
        <v>561</v>
      </c>
    </row>
    <row r="3" spans="2:15">
      <c r="B3" s="136" t="s">
        <v>562</v>
      </c>
    </row>
    <row r="4" spans="2:15">
      <c r="B4" s="219">
        <v>21</v>
      </c>
      <c r="C4" s="136" t="s">
        <v>563</v>
      </c>
    </row>
    <row r="6" spans="2:15" ht="30">
      <c r="B6" s="63" t="s">
        <v>559</v>
      </c>
      <c r="C6" s="91" t="s">
        <v>560</v>
      </c>
      <c r="D6" s="91" t="s">
        <v>1</v>
      </c>
      <c r="E6" s="91" t="s">
        <v>2</v>
      </c>
      <c r="F6" s="282" t="s">
        <v>564</v>
      </c>
      <c r="G6" s="283"/>
      <c r="H6" s="283"/>
      <c r="I6" s="283"/>
      <c r="J6" s="283"/>
      <c r="K6" s="283"/>
      <c r="L6" s="283"/>
      <c r="M6" s="283"/>
      <c r="N6" s="283"/>
      <c r="O6" s="283"/>
    </row>
    <row r="7" spans="2:15" ht="16.5">
      <c r="B7" s="137">
        <v>44186</v>
      </c>
      <c r="C7" s="137">
        <v>44191</v>
      </c>
      <c r="D7" s="138">
        <v>4</v>
      </c>
      <c r="E7" s="221">
        <f>D7/$B$4</f>
        <v>0.19047619047619047</v>
      </c>
      <c r="F7" s="222" t="str">
        <f t="shared" ref="F7:F28" si="0">REPT("|",IF(D7&gt;0,IF(D7/1&lt;1,1,D7/1)))</f>
        <v>||||</v>
      </c>
      <c r="G7" s="139"/>
      <c r="H7" s="139"/>
      <c r="I7" s="139"/>
      <c r="J7" s="139"/>
      <c r="K7" s="139"/>
      <c r="L7" s="139"/>
      <c r="M7" s="138"/>
      <c r="N7" s="138"/>
      <c r="O7" s="138"/>
    </row>
    <row r="8" spans="2:15" ht="16.5">
      <c r="B8" s="179">
        <v>44192</v>
      </c>
      <c r="C8" s="179">
        <v>44198</v>
      </c>
      <c r="D8" s="180">
        <v>10.7</v>
      </c>
      <c r="E8" s="223">
        <f t="shared" ref="E8:E28" si="1">D8/$B$4</f>
        <v>0.50952380952380949</v>
      </c>
      <c r="F8" s="224" t="str">
        <f t="shared" si="0"/>
        <v>||||||||||</v>
      </c>
      <c r="G8" s="181"/>
      <c r="H8" s="181"/>
      <c r="I8" s="181"/>
      <c r="J8" s="181"/>
      <c r="K8" s="181"/>
      <c r="L8" s="181"/>
      <c r="M8" s="180"/>
      <c r="N8" s="180"/>
      <c r="O8" s="180"/>
    </row>
    <row r="9" spans="2:15" ht="16.5">
      <c r="B9" s="179">
        <v>44199</v>
      </c>
      <c r="C9" s="179">
        <v>44205</v>
      </c>
      <c r="D9" s="180">
        <v>18.5</v>
      </c>
      <c r="E9" s="223">
        <f t="shared" si="1"/>
        <v>0.88095238095238093</v>
      </c>
      <c r="F9" s="224" t="str">
        <f t="shared" si="0"/>
        <v>||||||||||||||||||</v>
      </c>
      <c r="G9" s="181"/>
      <c r="H9" s="181"/>
      <c r="I9" s="181"/>
      <c r="J9" s="181"/>
      <c r="K9" s="181"/>
      <c r="L9" s="181"/>
      <c r="M9" s="180"/>
      <c r="N9" s="180"/>
      <c r="O9" s="180"/>
    </row>
    <row r="10" spans="2:15" ht="16.5">
      <c r="B10" s="179">
        <v>44206</v>
      </c>
      <c r="C10" s="179">
        <v>44212</v>
      </c>
      <c r="D10" s="180">
        <v>7.9</v>
      </c>
      <c r="E10" s="223">
        <f t="shared" si="1"/>
        <v>0.37619047619047619</v>
      </c>
      <c r="F10" s="224" t="str">
        <f t="shared" si="0"/>
        <v>|||||||</v>
      </c>
      <c r="G10" s="181"/>
      <c r="H10" s="181"/>
      <c r="I10" s="181"/>
      <c r="J10" s="181"/>
      <c r="K10" s="181"/>
      <c r="L10" s="181"/>
      <c r="M10" s="180"/>
      <c r="N10" s="180"/>
      <c r="O10" s="180"/>
    </row>
    <row r="11" spans="2:15" ht="16.5">
      <c r="B11" s="179">
        <v>44213</v>
      </c>
      <c r="C11" s="179">
        <v>44219</v>
      </c>
      <c r="D11" s="180">
        <v>7.4</v>
      </c>
      <c r="E11" s="223">
        <f t="shared" si="1"/>
        <v>0.35238095238095241</v>
      </c>
      <c r="F11" s="224" t="str">
        <f t="shared" si="0"/>
        <v>|||||||</v>
      </c>
      <c r="G11" s="181"/>
      <c r="H11" s="181"/>
      <c r="I11" s="181"/>
      <c r="J11" s="181"/>
      <c r="K11" s="181"/>
      <c r="L11" s="181"/>
      <c r="M11" s="180"/>
      <c r="N11" s="180"/>
      <c r="O11" s="180"/>
    </row>
    <row r="12" spans="2:15" ht="16.5">
      <c r="B12" s="179">
        <v>44220</v>
      </c>
      <c r="C12" s="179">
        <v>44226</v>
      </c>
      <c r="D12" s="180">
        <v>14</v>
      </c>
      <c r="E12" s="223">
        <f t="shared" si="1"/>
        <v>0.66666666666666663</v>
      </c>
      <c r="F12" s="224" t="str">
        <f t="shared" si="0"/>
        <v>||||||||||||||</v>
      </c>
      <c r="G12" s="181"/>
      <c r="H12" s="181"/>
      <c r="I12" s="181"/>
      <c r="J12" s="181"/>
      <c r="K12" s="181"/>
      <c r="L12" s="181"/>
      <c r="M12" s="180"/>
      <c r="N12" s="180"/>
      <c r="O12" s="180"/>
    </row>
    <row r="13" spans="2:15" ht="16.5">
      <c r="B13" s="179">
        <v>44227</v>
      </c>
      <c r="C13" s="179">
        <v>44233</v>
      </c>
      <c r="D13" s="180">
        <v>12</v>
      </c>
      <c r="E13" s="223">
        <f t="shared" si="1"/>
        <v>0.5714285714285714</v>
      </c>
      <c r="F13" s="224" t="str">
        <f t="shared" si="0"/>
        <v>||||||||||||</v>
      </c>
      <c r="G13" s="181"/>
      <c r="H13" s="181"/>
      <c r="I13" s="181"/>
      <c r="J13" s="181"/>
      <c r="K13" s="181"/>
      <c r="L13" s="181"/>
      <c r="M13" s="180"/>
      <c r="N13" s="180"/>
      <c r="O13" s="180"/>
    </row>
    <row r="14" spans="2:15" ht="16.5">
      <c r="B14" s="179">
        <v>44234</v>
      </c>
      <c r="C14" s="179">
        <v>44240</v>
      </c>
      <c r="D14" s="180">
        <v>4</v>
      </c>
      <c r="E14" s="223">
        <f t="shared" si="1"/>
        <v>0.19047619047619047</v>
      </c>
      <c r="F14" s="224" t="str">
        <f t="shared" si="0"/>
        <v>||||</v>
      </c>
      <c r="G14" s="181"/>
      <c r="H14" s="181"/>
      <c r="I14" s="181"/>
      <c r="J14" s="181"/>
      <c r="K14" s="181"/>
      <c r="L14" s="181"/>
      <c r="M14" s="180"/>
      <c r="N14" s="180"/>
      <c r="O14" s="180"/>
    </row>
    <row r="15" spans="2:15" ht="16.5">
      <c r="B15" s="179">
        <v>44241</v>
      </c>
      <c r="C15" s="179">
        <v>44247</v>
      </c>
      <c r="D15" s="180">
        <v>11.2</v>
      </c>
      <c r="E15" s="223">
        <f t="shared" si="1"/>
        <v>0.53333333333333333</v>
      </c>
      <c r="F15" s="224" t="str">
        <f t="shared" si="0"/>
        <v>|||||||||||</v>
      </c>
      <c r="G15" s="181"/>
      <c r="H15" s="181"/>
      <c r="I15" s="181"/>
      <c r="J15" s="181"/>
      <c r="K15" s="181"/>
      <c r="L15" s="181"/>
      <c r="M15" s="180"/>
      <c r="N15" s="180"/>
      <c r="O15" s="180"/>
    </row>
    <row r="16" spans="2:15" ht="16.5">
      <c r="B16" s="179">
        <v>44248</v>
      </c>
      <c r="C16" s="179">
        <v>44254</v>
      </c>
      <c r="D16" s="180">
        <v>17</v>
      </c>
      <c r="E16" s="223">
        <f t="shared" si="1"/>
        <v>0.80952380952380953</v>
      </c>
      <c r="F16" s="224" t="str">
        <f t="shared" si="0"/>
        <v>|||||||||||||||||</v>
      </c>
      <c r="G16" s="181"/>
      <c r="H16" s="181"/>
      <c r="I16" s="181"/>
      <c r="J16" s="181"/>
      <c r="K16" s="181"/>
      <c r="L16" s="181"/>
      <c r="M16" s="180"/>
      <c r="N16" s="180"/>
      <c r="O16" s="180"/>
    </row>
    <row r="17" spans="2:15" ht="16.5">
      <c r="B17" s="179">
        <v>44255</v>
      </c>
      <c r="C17" s="179">
        <v>44261</v>
      </c>
      <c r="D17" s="180">
        <v>14</v>
      </c>
      <c r="E17" s="223">
        <f t="shared" si="1"/>
        <v>0.66666666666666663</v>
      </c>
      <c r="F17" s="224" t="str">
        <f t="shared" si="0"/>
        <v>||||||||||||||</v>
      </c>
      <c r="G17" s="181"/>
      <c r="H17" s="181"/>
      <c r="I17" s="181"/>
      <c r="J17" s="181"/>
      <c r="K17" s="181"/>
      <c r="L17" s="181"/>
      <c r="M17" s="180"/>
      <c r="N17" s="180"/>
      <c r="O17" s="180"/>
    </row>
    <row r="18" spans="2:15" ht="16.5">
      <c r="B18" s="179">
        <v>44262</v>
      </c>
      <c r="C18" s="179">
        <v>44268</v>
      </c>
      <c r="D18" s="180">
        <v>16</v>
      </c>
      <c r="E18" s="223">
        <f t="shared" si="1"/>
        <v>0.76190476190476186</v>
      </c>
      <c r="F18" s="224" t="str">
        <f t="shared" si="0"/>
        <v>||||||||||||||||</v>
      </c>
      <c r="G18" s="181"/>
      <c r="H18" s="181"/>
      <c r="I18" s="181"/>
      <c r="J18" s="181"/>
      <c r="K18" s="181"/>
      <c r="L18" s="181"/>
      <c r="M18" s="180"/>
      <c r="N18" s="180"/>
      <c r="O18" s="180"/>
    </row>
    <row r="19" spans="2:15" ht="16.5">
      <c r="B19" s="179">
        <v>44269</v>
      </c>
      <c r="C19" s="179">
        <v>44275</v>
      </c>
      <c r="D19" s="180">
        <v>15</v>
      </c>
      <c r="E19" s="223">
        <f t="shared" si="1"/>
        <v>0.7142857142857143</v>
      </c>
      <c r="F19" s="224" t="str">
        <f t="shared" si="0"/>
        <v>|||||||||||||||</v>
      </c>
      <c r="G19" s="181"/>
      <c r="H19" s="181"/>
      <c r="I19" s="181"/>
      <c r="J19" s="181"/>
      <c r="K19" s="181"/>
      <c r="L19" s="181"/>
      <c r="M19" s="180"/>
      <c r="N19" s="180"/>
      <c r="O19" s="180"/>
    </row>
    <row r="20" spans="2:15" ht="16.5">
      <c r="B20" s="179">
        <v>44276</v>
      </c>
      <c r="C20" s="179">
        <v>44282</v>
      </c>
      <c r="D20" s="180">
        <v>15.6</v>
      </c>
      <c r="E20" s="223">
        <f t="shared" si="1"/>
        <v>0.74285714285714288</v>
      </c>
      <c r="F20" s="224" t="str">
        <f t="shared" si="0"/>
        <v>|||||||||||||||</v>
      </c>
      <c r="G20" s="181"/>
      <c r="H20" s="181"/>
      <c r="I20" s="181"/>
      <c r="J20" s="181"/>
      <c r="K20" s="181"/>
      <c r="L20" s="181"/>
      <c r="M20" s="180"/>
      <c r="N20" s="180"/>
      <c r="O20" s="180"/>
    </row>
    <row r="21" spans="2:15" ht="16.5">
      <c r="B21" s="179">
        <v>44283</v>
      </c>
      <c r="C21" s="179">
        <v>44289</v>
      </c>
      <c r="D21" s="180">
        <v>18</v>
      </c>
      <c r="E21" s="223">
        <f t="shared" si="1"/>
        <v>0.8571428571428571</v>
      </c>
      <c r="F21" s="224" t="str">
        <f t="shared" si="0"/>
        <v>||||||||||||||||||</v>
      </c>
      <c r="G21" s="181"/>
      <c r="H21" s="181"/>
      <c r="I21" s="181"/>
      <c r="J21" s="181"/>
      <c r="K21" s="181"/>
      <c r="L21" s="181"/>
      <c r="M21" s="180"/>
      <c r="N21" s="180"/>
      <c r="O21" s="180"/>
    </row>
    <row r="22" spans="2:15" ht="16.5">
      <c r="B22" s="179">
        <v>44290</v>
      </c>
      <c r="C22" s="179">
        <v>44296</v>
      </c>
      <c r="D22" s="180">
        <v>21</v>
      </c>
      <c r="E22" s="223">
        <f t="shared" si="1"/>
        <v>1</v>
      </c>
      <c r="F22" s="224" t="str">
        <f t="shared" si="0"/>
        <v>|||||||||||||||||||||</v>
      </c>
      <c r="G22" s="181"/>
      <c r="H22" s="181"/>
      <c r="I22" s="181"/>
      <c r="J22" s="181"/>
      <c r="K22" s="181"/>
      <c r="L22" s="181"/>
      <c r="M22" s="180"/>
      <c r="N22" s="180"/>
      <c r="O22" s="180"/>
    </row>
    <row r="23" spans="2:15" ht="16.5">
      <c r="B23" s="179">
        <v>44297</v>
      </c>
      <c r="C23" s="179">
        <v>44303</v>
      </c>
      <c r="D23" s="180">
        <v>21</v>
      </c>
      <c r="E23" s="223">
        <f t="shared" si="1"/>
        <v>1</v>
      </c>
      <c r="F23" s="224" t="str">
        <f t="shared" si="0"/>
        <v>|||||||||||||||||||||</v>
      </c>
      <c r="G23" s="181"/>
      <c r="H23" s="181"/>
      <c r="I23" s="181"/>
      <c r="J23" s="181"/>
      <c r="K23" s="181"/>
      <c r="L23" s="181"/>
      <c r="M23" s="180"/>
      <c r="N23" s="180"/>
      <c r="O23" s="180"/>
    </row>
    <row r="24" spans="2:15" ht="16.5">
      <c r="B24" s="179">
        <v>44304</v>
      </c>
      <c r="C24" s="179">
        <v>44310</v>
      </c>
      <c r="D24" s="180">
        <v>5</v>
      </c>
      <c r="E24" s="223">
        <f t="shared" si="1"/>
        <v>0.23809523809523808</v>
      </c>
      <c r="F24" s="224" t="str">
        <f t="shared" si="0"/>
        <v>|||||</v>
      </c>
      <c r="G24" s="181"/>
      <c r="H24" s="181"/>
      <c r="I24" s="181"/>
      <c r="J24" s="181"/>
      <c r="K24" s="181"/>
      <c r="L24" s="181"/>
      <c r="M24" s="180"/>
      <c r="N24" s="180"/>
      <c r="O24" s="180"/>
    </row>
    <row r="25" spans="2:15" ht="16.5">
      <c r="B25" s="179">
        <v>44311</v>
      </c>
      <c r="C25" s="179">
        <v>44317</v>
      </c>
      <c r="D25" s="180">
        <v>20</v>
      </c>
      <c r="E25" s="223">
        <f t="shared" si="1"/>
        <v>0.95238095238095233</v>
      </c>
      <c r="F25" s="224" t="str">
        <f t="shared" si="0"/>
        <v>||||||||||||||||||||</v>
      </c>
      <c r="G25" s="181"/>
      <c r="H25" s="181"/>
      <c r="I25" s="181"/>
      <c r="J25" s="181"/>
      <c r="K25" s="181"/>
      <c r="L25" s="181"/>
      <c r="M25" s="180"/>
      <c r="N25" s="180"/>
      <c r="O25" s="180"/>
    </row>
    <row r="26" spans="2:15" ht="16.5">
      <c r="B26" s="179">
        <v>44318</v>
      </c>
      <c r="C26" s="179">
        <v>44324</v>
      </c>
      <c r="D26" s="180">
        <v>4</v>
      </c>
      <c r="E26" s="223">
        <f t="shared" si="1"/>
        <v>0.19047619047619047</v>
      </c>
      <c r="F26" s="224" t="str">
        <f t="shared" si="0"/>
        <v>||||</v>
      </c>
      <c r="G26" s="181"/>
      <c r="H26" s="181"/>
      <c r="I26" s="181"/>
      <c r="J26" s="181"/>
      <c r="K26" s="181"/>
      <c r="L26" s="181"/>
      <c r="M26" s="180"/>
      <c r="N26" s="180"/>
      <c r="O26" s="180"/>
    </row>
    <row r="27" spans="2:15" ht="16.5">
      <c r="B27" s="179">
        <v>44325</v>
      </c>
      <c r="C27" s="179">
        <v>44331</v>
      </c>
      <c r="D27" s="180">
        <v>5</v>
      </c>
      <c r="E27" s="223">
        <f t="shared" si="1"/>
        <v>0.23809523809523808</v>
      </c>
      <c r="F27" s="224" t="str">
        <f t="shared" si="0"/>
        <v>|||||</v>
      </c>
      <c r="G27" s="181"/>
      <c r="H27" s="181"/>
      <c r="I27" s="181"/>
      <c r="J27" s="181"/>
      <c r="K27" s="181"/>
      <c r="L27" s="181"/>
      <c r="M27" s="180"/>
      <c r="N27" s="180"/>
      <c r="O27" s="180"/>
    </row>
    <row r="28" spans="2:15" ht="16.5">
      <c r="B28" s="179">
        <v>44332</v>
      </c>
      <c r="C28" s="179">
        <v>44338</v>
      </c>
      <c r="D28" s="180">
        <v>6</v>
      </c>
      <c r="E28" s="223">
        <f t="shared" si="1"/>
        <v>0.2857142857142857</v>
      </c>
      <c r="F28" s="224" t="str">
        <f t="shared" si="0"/>
        <v>||||||</v>
      </c>
      <c r="G28" s="181"/>
      <c r="H28" s="181"/>
      <c r="I28" s="181"/>
      <c r="J28" s="181"/>
      <c r="K28" s="181"/>
      <c r="L28" s="181"/>
      <c r="M28" s="180"/>
      <c r="N28" s="180"/>
      <c r="O28" s="180"/>
    </row>
    <row r="29" spans="2:15">
      <c r="C29" s="136" t="s">
        <v>1286</v>
      </c>
      <c r="D29" s="136">
        <f>SUM(D7:D28)</f>
        <v>267.29999999999995</v>
      </c>
      <c r="E29" s="220">
        <f>D29/$B$4</f>
        <v>12.728571428571426</v>
      </c>
    </row>
  </sheetData>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K17" sqref="K1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1485</v>
      </c>
      <c r="B1" s="1"/>
      <c r="C1" s="1"/>
      <c r="D1" s="1"/>
      <c r="E1" s="1"/>
      <c r="F1" s="1"/>
      <c r="G1" s="1"/>
      <c r="H1" s="1"/>
    </row>
    <row r="2" spans="1:9" s="65" customFormat="1" ht="78.75" customHeight="1">
      <c r="A2" s="284" t="s">
        <v>1486</v>
      </c>
      <c r="B2" s="284"/>
      <c r="C2" s="284"/>
      <c r="D2" s="284"/>
      <c r="E2" s="284"/>
      <c r="F2" s="284"/>
      <c r="G2" s="284"/>
      <c r="H2" s="284"/>
    </row>
    <row r="3" spans="1:9" s="65" customFormat="1" ht="24.75" customHeight="1">
      <c r="A3" s="285" t="s">
        <v>1487</v>
      </c>
      <c r="B3" s="285"/>
      <c r="D3" s="285" t="s">
        <v>1488</v>
      </c>
      <c r="E3" s="285"/>
      <c r="G3" s="285" t="s">
        <v>1489</v>
      </c>
      <c r="H3" s="285"/>
    </row>
    <row r="4" spans="1:9" s="67" customFormat="1" ht="19.5" customHeight="1">
      <c r="A4" s="66" t="s">
        <v>1490</v>
      </c>
      <c r="B4" s="66" t="s">
        <v>1491</v>
      </c>
      <c r="D4" s="66" t="s">
        <v>1490</v>
      </c>
      <c r="E4" s="66" t="s">
        <v>1491</v>
      </c>
      <c r="G4" s="66" t="s">
        <v>1490</v>
      </c>
      <c r="H4" s="66" t="s">
        <v>1491</v>
      </c>
    </row>
    <row r="5" spans="1:9" s="97" customFormat="1" ht="16.5">
      <c r="A5" s="95" t="s">
        <v>1130</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1131</v>
      </c>
      <c r="B6" s="96">
        <v>43854</v>
      </c>
      <c r="C6" s="97" t="str">
        <f t="shared" si="0"/>
        <v>(금)</v>
      </c>
      <c r="D6" s="98"/>
      <c r="E6" s="99"/>
      <c r="F6" s="97" t="str">
        <f t="shared" si="1"/>
        <v/>
      </c>
      <c r="G6" s="98"/>
      <c r="H6" s="99"/>
      <c r="I6" s="97" t="str">
        <f t="shared" si="2"/>
        <v/>
      </c>
    </row>
    <row r="7" spans="1:9" s="97" customFormat="1" ht="16.5">
      <c r="A7" s="95" t="s">
        <v>1323</v>
      </c>
      <c r="B7" s="96">
        <v>43857</v>
      </c>
      <c r="C7" s="97" t="str">
        <f t="shared" si="0"/>
        <v>(월)</v>
      </c>
      <c r="D7" s="98"/>
      <c r="E7" s="99"/>
      <c r="F7" s="97" t="str">
        <f t="shared" si="1"/>
        <v/>
      </c>
      <c r="G7" s="98"/>
      <c r="H7" s="99"/>
      <c r="I7" s="97" t="str">
        <f t="shared" si="2"/>
        <v/>
      </c>
    </row>
    <row r="8" spans="1:9" s="97" customFormat="1" ht="16.5">
      <c r="A8" s="95" t="s">
        <v>1324</v>
      </c>
      <c r="B8" s="96">
        <v>43936</v>
      </c>
      <c r="C8" s="97" t="str">
        <f t="shared" si="0"/>
        <v>(수)</v>
      </c>
      <c r="D8" s="98"/>
      <c r="E8" s="99"/>
      <c r="F8" s="97" t="str">
        <f t="shared" si="1"/>
        <v/>
      </c>
      <c r="G8" s="98"/>
      <c r="H8" s="99"/>
      <c r="I8" s="97" t="str">
        <f t="shared" si="2"/>
        <v/>
      </c>
    </row>
    <row r="9" spans="1:9" s="97" customFormat="1" ht="16.5">
      <c r="A9" s="95" t="s">
        <v>1325</v>
      </c>
      <c r="B9" s="96">
        <v>43951</v>
      </c>
      <c r="C9" s="97" t="str">
        <f t="shared" si="0"/>
        <v>(목)</v>
      </c>
      <c r="D9" s="98"/>
      <c r="E9" s="99"/>
      <c r="F9" s="97" t="str">
        <f t="shared" si="1"/>
        <v/>
      </c>
      <c r="G9" s="98"/>
      <c r="H9" s="99"/>
      <c r="I9" s="97" t="str">
        <f t="shared" si="2"/>
        <v/>
      </c>
    </row>
    <row r="10" spans="1:9" s="97" customFormat="1" ht="16.5">
      <c r="A10" s="95" t="s">
        <v>1326</v>
      </c>
      <c r="B10" s="96">
        <v>43956</v>
      </c>
      <c r="C10" s="97" t="str">
        <f t="shared" si="0"/>
        <v>(화)</v>
      </c>
      <c r="D10" s="98"/>
      <c r="E10" s="99"/>
      <c r="F10" s="97" t="str">
        <f t="shared" si="1"/>
        <v/>
      </c>
      <c r="G10" s="98"/>
      <c r="H10" s="99"/>
      <c r="I10" s="97" t="str">
        <f t="shared" si="2"/>
        <v/>
      </c>
    </row>
    <row r="11" spans="1:9" s="97" customFormat="1" ht="16.5">
      <c r="A11" s="95" t="s">
        <v>1331</v>
      </c>
      <c r="B11" s="96">
        <v>44060</v>
      </c>
      <c r="C11" s="97" t="str">
        <f t="shared" si="0"/>
        <v>(월)</v>
      </c>
      <c r="D11" s="98"/>
      <c r="E11" s="99"/>
      <c r="F11" s="97" t="str">
        <f t="shared" si="1"/>
        <v/>
      </c>
      <c r="G11" s="98"/>
      <c r="H11" s="99"/>
      <c r="I11" s="97" t="str">
        <f t="shared" si="2"/>
        <v/>
      </c>
    </row>
    <row r="12" spans="1:9" s="97" customFormat="1" ht="16.5">
      <c r="A12" s="95" t="s">
        <v>1327</v>
      </c>
      <c r="B12" s="96">
        <v>44104</v>
      </c>
      <c r="C12" s="97" t="str">
        <f t="shared" si="0"/>
        <v>(수)</v>
      </c>
      <c r="D12" s="98"/>
      <c r="E12" s="99"/>
      <c r="F12" s="97" t="str">
        <f t="shared" si="1"/>
        <v/>
      </c>
      <c r="G12" s="98"/>
      <c r="H12" s="99"/>
      <c r="I12" s="97" t="str">
        <f t="shared" si="2"/>
        <v/>
      </c>
    </row>
    <row r="13" spans="1:9" s="97" customFormat="1" ht="16.5">
      <c r="A13" s="95" t="s">
        <v>1328</v>
      </c>
      <c r="B13" s="96">
        <v>44105</v>
      </c>
      <c r="C13" s="97" t="str">
        <f t="shared" si="0"/>
        <v>(목)</v>
      </c>
      <c r="D13" s="98"/>
      <c r="E13" s="99"/>
      <c r="F13" s="97" t="str">
        <f t="shared" si="1"/>
        <v/>
      </c>
      <c r="G13" s="98"/>
      <c r="H13" s="99"/>
      <c r="I13" s="97" t="str">
        <f t="shared" si="2"/>
        <v/>
      </c>
    </row>
    <row r="14" spans="1:9" s="97" customFormat="1" ht="16.5">
      <c r="A14" s="95" t="s">
        <v>1327</v>
      </c>
      <c r="B14" s="96">
        <v>44106</v>
      </c>
      <c r="C14" s="97" t="str">
        <f t="shared" si="0"/>
        <v>(금)</v>
      </c>
      <c r="D14" s="98"/>
      <c r="E14" s="99"/>
      <c r="F14" s="97" t="str">
        <f t="shared" si="1"/>
        <v/>
      </c>
      <c r="G14" s="98"/>
      <c r="H14" s="99"/>
      <c r="I14" s="97" t="str">
        <f t="shared" si="2"/>
        <v/>
      </c>
    </row>
    <row r="15" spans="1:9" s="97" customFormat="1" ht="16.5">
      <c r="A15" s="95" t="s">
        <v>1329</v>
      </c>
      <c r="B15" s="96">
        <v>44113</v>
      </c>
      <c r="C15" s="97" t="str">
        <f t="shared" si="0"/>
        <v>(금)</v>
      </c>
      <c r="D15" s="98"/>
      <c r="E15" s="99"/>
      <c r="F15" s="97" t="str">
        <f t="shared" si="1"/>
        <v/>
      </c>
      <c r="G15" s="98"/>
      <c r="H15" s="99"/>
      <c r="I15" s="97" t="str">
        <f t="shared" si="2"/>
        <v/>
      </c>
    </row>
    <row r="16" spans="1:9" s="97" customFormat="1" ht="16.5">
      <c r="A16" s="95" t="s">
        <v>1330</v>
      </c>
      <c r="B16" s="96">
        <v>44190</v>
      </c>
      <c r="C16" s="97" t="str">
        <f t="shared" si="0"/>
        <v>(금)</v>
      </c>
      <c r="D16" s="98"/>
      <c r="E16" s="99"/>
      <c r="F16" s="97" t="str">
        <f t="shared" si="1"/>
        <v/>
      </c>
      <c r="G16" s="98"/>
      <c r="H16" s="99"/>
      <c r="I16" s="97" t="str">
        <f t="shared" si="2"/>
        <v/>
      </c>
    </row>
    <row r="17" spans="1:10" s="97" customFormat="1" ht="16.5">
      <c r="A17" s="95" t="s">
        <v>1332</v>
      </c>
      <c r="B17" s="96">
        <v>44197</v>
      </c>
      <c r="C17" s="97" t="str">
        <f t="shared" si="0"/>
        <v>(금)</v>
      </c>
      <c r="D17" s="98"/>
      <c r="E17" s="99"/>
      <c r="F17" s="97" t="str">
        <f t="shared" si="1"/>
        <v/>
      </c>
      <c r="G17" s="98"/>
      <c r="H17" s="99"/>
      <c r="I17" s="97" t="str">
        <f t="shared" si="2"/>
        <v/>
      </c>
    </row>
    <row r="18" spans="1:10" s="97" customFormat="1" ht="16.5">
      <c r="A18" s="95" t="s">
        <v>1333</v>
      </c>
      <c r="B18" s="96">
        <v>44238</v>
      </c>
      <c r="C18" s="97" t="str">
        <f t="shared" si="0"/>
        <v>(목)</v>
      </c>
      <c r="D18" s="98"/>
      <c r="E18" s="99"/>
      <c r="F18" s="97" t="str">
        <f t="shared" si="1"/>
        <v/>
      </c>
      <c r="G18" s="98"/>
      <c r="H18" s="99"/>
      <c r="I18" s="97" t="str">
        <f t="shared" si="2"/>
        <v/>
      </c>
    </row>
    <row r="19" spans="1:10" s="97" customFormat="1" ht="17.25">
      <c r="A19" s="95" t="s">
        <v>1334</v>
      </c>
      <c r="B19" s="96">
        <v>44239</v>
      </c>
      <c r="C19" s="97" t="str">
        <f t="shared" si="0"/>
        <v>(금)</v>
      </c>
      <c r="D19" s="98"/>
      <c r="E19" s="99"/>
      <c r="F19" s="97" t="str">
        <f t="shared" si="1"/>
        <v/>
      </c>
      <c r="G19" s="98"/>
      <c r="H19" s="99"/>
      <c r="I19" s="97" t="str">
        <f t="shared" si="2"/>
        <v/>
      </c>
      <c r="J19" s="100"/>
    </row>
    <row r="20" spans="1:10" s="97" customFormat="1" ht="17.25">
      <c r="A20" s="95" t="s">
        <v>1335</v>
      </c>
      <c r="B20" s="96">
        <v>44256</v>
      </c>
      <c r="C20" s="97" t="str">
        <f t="shared" si="0"/>
        <v>(월)</v>
      </c>
      <c r="D20" s="98"/>
      <c r="E20" s="99"/>
      <c r="F20" s="97" t="str">
        <f t="shared" si="1"/>
        <v/>
      </c>
      <c r="G20" s="98"/>
      <c r="H20" s="99"/>
      <c r="I20" s="97" t="str">
        <f t="shared" si="2"/>
        <v/>
      </c>
      <c r="J20" s="100"/>
    </row>
    <row r="21" spans="1:10" s="97" customFormat="1" ht="16.5">
      <c r="A21" s="95" t="s">
        <v>1336</v>
      </c>
      <c r="B21" s="96">
        <v>44321</v>
      </c>
      <c r="C21" s="97" t="str">
        <f t="shared" si="0"/>
        <v>(수)</v>
      </c>
      <c r="D21" s="98"/>
      <c r="E21" s="99"/>
      <c r="F21" s="97" t="str">
        <f t="shared" si="1"/>
        <v/>
      </c>
      <c r="G21" s="98"/>
      <c r="H21" s="99"/>
      <c r="I21" s="97" t="str">
        <f t="shared" si="2"/>
        <v/>
      </c>
    </row>
    <row r="22" spans="1:10" s="97" customFormat="1" ht="16.5">
      <c r="A22" s="95" t="s">
        <v>1337</v>
      </c>
      <c r="B22" s="96">
        <v>44335</v>
      </c>
      <c r="C22" s="97" t="str">
        <f t="shared" si="0"/>
        <v>(수)</v>
      </c>
      <c r="D22" s="98"/>
      <c r="E22" s="99"/>
      <c r="F22" s="97" t="str">
        <f t="shared" si="1"/>
        <v/>
      </c>
      <c r="G22" s="98"/>
      <c r="H22" s="99"/>
      <c r="I22" s="97" t="str">
        <f t="shared" si="2"/>
        <v/>
      </c>
    </row>
    <row r="23" spans="1:10" s="97" customFormat="1" ht="16.5">
      <c r="A23" s="95" t="s">
        <v>1338</v>
      </c>
      <c r="B23" s="96">
        <v>44459</v>
      </c>
      <c r="C23" s="97" t="str">
        <f t="shared" si="0"/>
        <v>(월)</v>
      </c>
      <c r="D23" s="98"/>
      <c r="E23" s="99"/>
      <c r="F23" s="97" t="str">
        <f t="shared" si="1"/>
        <v/>
      </c>
      <c r="G23" s="98"/>
      <c r="H23" s="99"/>
      <c r="I23" s="97" t="str">
        <f t="shared" si="2"/>
        <v/>
      </c>
    </row>
    <row r="24" spans="1:10" s="97" customFormat="1" ht="16.5">
      <c r="A24" s="95" t="s">
        <v>1339</v>
      </c>
      <c r="B24" s="96">
        <v>44460</v>
      </c>
      <c r="C24" s="97" t="str">
        <f t="shared" si="0"/>
        <v>(화)</v>
      </c>
      <c r="D24" s="98"/>
      <c r="E24" s="99"/>
      <c r="F24" s="97" t="str">
        <f t="shared" si="1"/>
        <v/>
      </c>
      <c r="G24" s="98"/>
      <c r="H24" s="99"/>
      <c r="I24" s="97" t="str">
        <f t="shared" si="2"/>
        <v/>
      </c>
    </row>
    <row r="25" spans="1:10" s="97" customFormat="1" ht="16.5">
      <c r="A25" s="95" t="s">
        <v>1338</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1492</v>
      </c>
      <c r="D305" s="97" t="s">
        <v>1492</v>
      </c>
      <c r="G305" s="97" t="s">
        <v>1492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499</v>
      </c>
      <c r="B1" s="85" t="s">
        <v>500</v>
      </c>
      <c r="C1" s="86" t="s">
        <v>501</v>
      </c>
      <c r="D1" s="86" t="s">
        <v>64</v>
      </c>
      <c r="E1" s="86" t="s">
        <v>65</v>
      </c>
      <c r="F1" s="85" t="s">
        <v>1418</v>
      </c>
    </row>
    <row r="2" spans="1:6" ht="84">
      <c r="A2" s="87" t="s">
        <v>1406</v>
      </c>
      <c r="B2" s="88">
        <v>1</v>
      </c>
      <c r="C2" s="89" t="s">
        <v>1024</v>
      </c>
      <c r="D2" s="90" t="s">
        <v>502</v>
      </c>
      <c r="E2" s="90" t="s">
        <v>586</v>
      </c>
      <c r="F2" s="90" t="s">
        <v>586</v>
      </c>
    </row>
    <row r="3" spans="1:6" ht="96">
      <c r="A3" s="212">
        <v>600</v>
      </c>
      <c r="B3" s="88">
        <v>2</v>
      </c>
      <c r="C3" s="89" t="s">
        <v>1024</v>
      </c>
      <c r="D3" s="90" t="s">
        <v>495</v>
      </c>
      <c r="E3" s="90" t="s">
        <v>587</v>
      </c>
      <c r="F3" s="90" t="s">
        <v>587</v>
      </c>
    </row>
    <row r="4" spans="1:6" ht="60">
      <c r="B4" s="88">
        <v>3</v>
      </c>
      <c r="C4" s="89" t="s">
        <v>1024</v>
      </c>
      <c r="D4" s="90" t="s">
        <v>503</v>
      </c>
      <c r="E4" s="90" t="s">
        <v>588</v>
      </c>
      <c r="F4" s="90" t="s">
        <v>588</v>
      </c>
    </row>
    <row r="5" spans="1:6" ht="60">
      <c r="B5" s="88">
        <v>4</v>
      </c>
      <c r="C5" s="89" t="s">
        <v>1024</v>
      </c>
      <c r="D5" s="90" t="s">
        <v>504</v>
      </c>
      <c r="E5" s="90" t="s">
        <v>589</v>
      </c>
      <c r="F5" s="90" t="s">
        <v>589</v>
      </c>
    </row>
    <row r="6" spans="1:6" ht="60">
      <c r="B6" s="88">
        <v>5</v>
      </c>
      <c r="C6" s="89" t="s">
        <v>1024</v>
      </c>
      <c r="D6" s="90" t="s">
        <v>505</v>
      </c>
      <c r="E6" s="90" t="s">
        <v>590</v>
      </c>
      <c r="F6" s="90" t="s">
        <v>590</v>
      </c>
    </row>
    <row r="7" spans="1:6" ht="48">
      <c r="B7" s="88">
        <v>6</v>
      </c>
      <c r="C7" s="89" t="s">
        <v>1024</v>
      </c>
      <c r="D7" s="90" t="s">
        <v>506</v>
      </c>
      <c r="E7" s="90" t="s">
        <v>591</v>
      </c>
      <c r="F7" s="90" t="s">
        <v>591</v>
      </c>
    </row>
    <row r="8" spans="1:6">
      <c r="B8" s="88">
        <v>7</v>
      </c>
      <c r="C8" s="89" t="s">
        <v>1024</v>
      </c>
      <c r="D8" s="90" t="s">
        <v>497</v>
      </c>
      <c r="E8" s="90" t="s">
        <v>592</v>
      </c>
      <c r="F8" s="90" t="s">
        <v>592</v>
      </c>
    </row>
    <row r="9" spans="1:6" ht="48">
      <c r="B9" s="88">
        <v>8</v>
      </c>
      <c r="C9" s="89" t="s">
        <v>1232</v>
      </c>
      <c r="D9" s="90" t="s">
        <v>1229</v>
      </c>
      <c r="E9" s="90" t="s">
        <v>1147</v>
      </c>
      <c r="F9" s="90" t="s">
        <v>1147</v>
      </c>
    </row>
    <row r="10" spans="1:6" ht="48">
      <c r="B10" s="88">
        <v>9</v>
      </c>
      <c r="C10" s="89" t="s">
        <v>1232</v>
      </c>
      <c r="D10" s="90" t="s">
        <v>1210</v>
      </c>
      <c r="E10" s="90" t="s">
        <v>1171</v>
      </c>
      <c r="F10" s="90" t="s">
        <v>1171</v>
      </c>
    </row>
    <row r="11" spans="1:6" ht="60">
      <c r="B11" s="88">
        <v>10</v>
      </c>
      <c r="C11" s="89" t="s">
        <v>1232</v>
      </c>
      <c r="D11" s="90" t="s">
        <v>1230</v>
      </c>
      <c r="E11" s="90" t="s">
        <v>1212</v>
      </c>
      <c r="F11" s="90" t="s">
        <v>1212</v>
      </c>
    </row>
    <row r="12" spans="1:6" ht="48">
      <c r="B12" s="88">
        <v>11</v>
      </c>
      <c r="C12" s="89" t="s">
        <v>1232</v>
      </c>
      <c r="D12" s="90" t="s">
        <v>1215</v>
      </c>
      <c r="E12" s="90" t="s">
        <v>1214</v>
      </c>
      <c r="F12" s="90" t="s">
        <v>1214</v>
      </c>
    </row>
    <row r="13" spans="1:6" ht="72">
      <c r="B13" s="88">
        <v>12</v>
      </c>
      <c r="C13" s="89" t="s">
        <v>1232</v>
      </c>
      <c r="D13" s="90" t="s">
        <v>1216</v>
      </c>
      <c r="E13" s="90" t="s">
        <v>1175</v>
      </c>
      <c r="F13" s="90" t="s">
        <v>1175</v>
      </c>
    </row>
    <row r="14" spans="1:6">
      <c r="B14" s="88">
        <v>101</v>
      </c>
      <c r="D14" s="90" t="s">
        <v>66</v>
      </c>
      <c r="E14" s="90" t="s">
        <v>593</v>
      </c>
      <c r="F14" s="90" t="s">
        <v>593</v>
      </c>
    </row>
    <row r="15" spans="1:6">
      <c r="B15" s="88">
        <v>102</v>
      </c>
      <c r="D15" s="90" t="s">
        <v>67</v>
      </c>
      <c r="E15" s="90" t="s">
        <v>594</v>
      </c>
      <c r="F15" s="90" t="s">
        <v>594</v>
      </c>
    </row>
    <row r="16" spans="1:6">
      <c r="B16" s="88">
        <v>103</v>
      </c>
      <c r="D16" s="90" t="s">
        <v>68</v>
      </c>
      <c r="E16" s="90" t="s">
        <v>595</v>
      </c>
      <c r="F16" s="90" t="s">
        <v>595</v>
      </c>
    </row>
    <row r="17" spans="1:6">
      <c r="B17" s="88">
        <v>104</v>
      </c>
      <c r="D17" s="90" t="s">
        <v>69</v>
      </c>
      <c r="E17" s="90" t="s">
        <v>596</v>
      </c>
      <c r="F17" s="90" t="s">
        <v>596</v>
      </c>
    </row>
    <row r="18" spans="1:6">
      <c r="B18" s="88">
        <v>105</v>
      </c>
      <c r="D18" s="90" t="s">
        <v>70</v>
      </c>
      <c r="E18" s="90" t="s">
        <v>597</v>
      </c>
      <c r="F18" s="90" t="s">
        <v>597</v>
      </c>
    </row>
    <row r="19" spans="1:6" ht="24">
      <c r="B19" s="88">
        <v>106</v>
      </c>
      <c r="D19" s="90" t="s">
        <v>418</v>
      </c>
      <c r="E19" s="90" t="s">
        <v>598</v>
      </c>
      <c r="F19" s="90" t="s">
        <v>598</v>
      </c>
    </row>
    <row r="20" spans="1:6" ht="36">
      <c r="B20" s="88">
        <v>107</v>
      </c>
      <c r="D20" s="90" t="s">
        <v>419</v>
      </c>
      <c r="E20" s="90" t="s">
        <v>599</v>
      </c>
      <c r="F20" s="90" t="s">
        <v>599</v>
      </c>
    </row>
    <row r="21" spans="1:6" ht="36">
      <c r="B21" s="88">
        <v>108</v>
      </c>
      <c r="D21" s="90" t="s">
        <v>420</v>
      </c>
      <c r="E21" s="90" t="s">
        <v>600</v>
      </c>
      <c r="F21" s="90" t="s">
        <v>600</v>
      </c>
    </row>
    <row r="22" spans="1:6">
      <c r="B22" s="88">
        <v>109</v>
      </c>
      <c r="D22" s="90" t="s">
        <v>71</v>
      </c>
      <c r="E22" s="90" t="s">
        <v>601</v>
      </c>
      <c r="F22" s="90" t="s">
        <v>601</v>
      </c>
    </row>
    <row r="23" spans="1:6">
      <c r="B23" s="88">
        <v>110</v>
      </c>
      <c r="D23" s="90" t="s">
        <v>72</v>
      </c>
      <c r="E23" s="90" t="s">
        <v>602</v>
      </c>
      <c r="F23" s="90" t="s">
        <v>602</v>
      </c>
    </row>
    <row r="24" spans="1:6">
      <c r="B24" s="88">
        <v>111</v>
      </c>
      <c r="D24" s="90" t="s">
        <v>73</v>
      </c>
      <c r="E24" s="90" t="s">
        <v>603</v>
      </c>
      <c r="F24" s="90" t="s">
        <v>603</v>
      </c>
    </row>
    <row r="25" spans="1:6">
      <c r="A25" s="213"/>
      <c r="B25" s="88">
        <v>112</v>
      </c>
      <c r="C25" s="214" t="s">
        <v>490</v>
      </c>
      <c r="D25" s="212" t="s">
        <v>507</v>
      </c>
      <c r="E25" s="212" t="s">
        <v>577</v>
      </c>
      <c r="F25" s="212" t="s">
        <v>577</v>
      </c>
    </row>
    <row r="26" spans="1:6">
      <c r="B26" s="88">
        <v>113</v>
      </c>
      <c r="D26" s="90" t="s">
        <v>74</v>
      </c>
      <c r="E26" s="90" t="s">
        <v>577</v>
      </c>
      <c r="F26" s="90" t="s">
        <v>577</v>
      </c>
    </row>
    <row r="27" spans="1:6">
      <c r="B27" s="88">
        <v>114</v>
      </c>
      <c r="C27" s="89" t="s">
        <v>1145</v>
      </c>
      <c r="D27" s="90" t="s">
        <v>1181</v>
      </c>
      <c r="E27" s="90" t="s">
        <v>1154</v>
      </c>
      <c r="F27" s="90" t="s">
        <v>1154</v>
      </c>
    </row>
    <row r="28" spans="1:6">
      <c r="B28" s="88">
        <v>115</v>
      </c>
      <c r="D28" s="90" t="s">
        <v>1268</v>
      </c>
      <c r="E28" s="90" t="s">
        <v>1269</v>
      </c>
      <c r="F28" s="90" t="s">
        <v>1269</v>
      </c>
    </row>
    <row r="29" spans="1:6">
      <c r="B29" s="88">
        <v>116</v>
      </c>
      <c r="D29" s="90" t="s">
        <v>75</v>
      </c>
      <c r="E29" s="90" t="s">
        <v>604</v>
      </c>
      <c r="F29" s="90" t="s">
        <v>604</v>
      </c>
    </row>
    <row r="30" spans="1:6">
      <c r="B30" s="88">
        <v>117</v>
      </c>
      <c r="D30" s="90" t="s">
        <v>76</v>
      </c>
      <c r="E30" s="90" t="s">
        <v>605</v>
      </c>
      <c r="F30" s="90" t="s">
        <v>605</v>
      </c>
    </row>
    <row r="31" spans="1:6" ht="24">
      <c r="B31" s="88">
        <v>118</v>
      </c>
      <c r="D31" s="90" t="s">
        <v>421</v>
      </c>
      <c r="E31" s="90" t="s">
        <v>606</v>
      </c>
      <c r="F31" s="90" t="s">
        <v>606</v>
      </c>
    </row>
    <row r="32" spans="1:6">
      <c r="B32" s="88">
        <v>119</v>
      </c>
      <c r="D32" s="90" t="s">
        <v>1063</v>
      </c>
      <c r="E32" s="90" t="s">
        <v>1064</v>
      </c>
      <c r="F32" s="90" t="s">
        <v>1064</v>
      </c>
    </row>
    <row r="33" spans="2:6">
      <c r="B33" s="88">
        <v>120</v>
      </c>
      <c r="D33" s="90" t="s">
        <v>1036</v>
      </c>
      <c r="E33" s="90" t="s">
        <v>1037</v>
      </c>
      <c r="F33" s="90" t="s">
        <v>1037</v>
      </c>
    </row>
    <row r="34" spans="2:6" ht="24">
      <c r="B34" s="88">
        <v>121</v>
      </c>
      <c r="D34" s="90" t="s">
        <v>77</v>
      </c>
      <c r="E34" s="90" t="s">
        <v>607</v>
      </c>
      <c r="F34" s="90" t="s">
        <v>607</v>
      </c>
    </row>
    <row r="35" spans="2:6">
      <c r="B35" s="88">
        <v>122</v>
      </c>
      <c r="D35" s="90" t="s">
        <v>78</v>
      </c>
      <c r="E35" s="90" t="s">
        <v>608</v>
      </c>
      <c r="F35" s="90" t="s">
        <v>608</v>
      </c>
    </row>
    <row r="36" spans="2:6">
      <c r="B36" s="88">
        <v>123</v>
      </c>
      <c r="D36" s="90" t="s">
        <v>416</v>
      </c>
      <c r="E36" s="90" t="s">
        <v>561</v>
      </c>
      <c r="F36" s="90" t="s">
        <v>561</v>
      </c>
    </row>
    <row r="37" spans="2:6">
      <c r="B37" s="88">
        <v>124</v>
      </c>
      <c r="D37" s="90" t="s">
        <v>79</v>
      </c>
      <c r="E37" s="90" t="s">
        <v>609</v>
      </c>
      <c r="F37" s="90" t="s">
        <v>609</v>
      </c>
    </row>
    <row r="38" spans="2:6" ht="24">
      <c r="B38" s="88">
        <v>125</v>
      </c>
      <c r="D38" s="90" t="s">
        <v>1067</v>
      </c>
      <c r="E38" s="90" t="s">
        <v>1068</v>
      </c>
      <c r="F38" s="90" t="s">
        <v>1068</v>
      </c>
    </row>
    <row r="39" spans="2:6" ht="24">
      <c r="B39" s="88">
        <v>126</v>
      </c>
      <c r="D39" s="90" t="s">
        <v>1066</v>
      </c>
      <c r="E39" s="90" t="s">
        <v>1065</v>
      </c>
      <c r="F39" s="90" t="s">
        <v>1065</v>
      </c>
    </row>
    <row r="40" spans="2:6" ht="24">
      <c r="B40" s="88">
        <v>127</v>
      </c>
      <c r="D40" s="90" t="s">
        <v>80</v>
      </c>
      <c r="E40" s="90" t="s">
        <v>610</v>
      </c>
      <c r="F40" s="90" t="s">
        <v>610</v>
      </c>
    </row>
    <row r="41" spans="2:6" ht="24">
      <c r="B41" s="88">
        <v>128</v>
      </c>
      <c r="D41" s="90" t="s">
        <v>81</v>
      </c>
      <c r="E41" s="90" t="s">
        <v>611</v>
      </c>
      <c r="F41" s="90" t="s">
        <v>611</v>
      </c>
    </row>
    <row r="42" spans="2:6" ht="24">
      <c r="B42" s="88">
        <v>129</v>
      </c>
      <c r="D42" s="90" t="s">
        <v>417</v>
      </c>
      <c r="E42" s="90" t="s">
        <v>562</v>
      </c>
      <c r="F42" s="90" t="s">
        <v>562</v>
      </c>
    </row>
    <row r="43" spans="2:6">
      <c r="B43" s="88">
        <v>130</v>
      </c>
      <c r="D43" s="90" t="s">
        <v>82</v>
      </c>
      <c r="E43" s="90" t="s">
        <v>612</v>
      </c>
      <c r="F43" s="90" t="s">
        <v>612</v>
      </c>
    </row>
    <row r="44" spans="2:6">
      <c r="B44" s="88">
        <v>131</v>
      </c>
      <c r="D44" s="90" t="s">
        <v>422</v>
      </c>
      <c r="E44" s="90" t="s">
        <v>613</v>
      </c>
      <c r="F44" s="90" t="s">
        <v>613</v>
      </c>
    </row>
    <row r="45" spans="2:6">
      <c r="B45" s="88">
        <v>132</v>
      </c>
      <c r="D45" s="90" t="s">
        <v>83</v>
      </c>
      <c r="E45" s="90" t="s">
        <v>614</v>
      </c>
      <c r="F45" s="90" t="s">
        <v>614</v>
      </c>
    </row>
    <row r="46" spans="2:6">
      <c r="B46" s="88">
        <v>133</v>
      </c>
      <c r="D46" s="90" t="s">
        <v>1510</v>
      </c>
      <c r="E46" s="90" t="s">
        <v>615</v>
      </c>
      <c r="F46" s="90" t="s">
        <v>615</v>
      </c>
    </row>
    <row r="47" spans="2:6">
      <c r="B47" s="88">
        <v>134</v>
      </c>
      <c r="D47" s="90" t="s">
        <v>1509</v>
      </c>
      <c r="E47" s="90" t="s">
        <v>616</v>
      </c>
      <c r="F47" s="90" t="s">
        <v>616</v>
      </c>
    </row>
    <row r="48" spans="2:6">
      <c r="B48" s="88">
        <v>135</v>
      </c>
      <c r="D48" s="212" t="s">
        <v>1508</v>
      </c>
      <c r="E48" s="215">
        <v>43435</v>
      </c>
      <c r="F48" s="215">
        <v>43435</v>
      </c>
    </row>
    <row r="49" spans="2:6">
      <c r="B49" s="88">
        <v>136</v>
      </c>
      <c r="D49" s="212" t="s">
        <v>423</v>
      </c>
      <c r="E49" s="215">
        <v>43465</v>
      </c>
      <c r="F49" s="215">
        <v>43465</v>
      </c>
    </row>
    <row r="50" spans="2:6">
      <c r="B50" s="88">
        <v>137</v>
      </c>
      <c r="D50" s="90" t="s">
        <v>84</v>
      </c>
      <c r="E50" s="90" t="s">
        <v>84</v>
      </c>
      <c r="F50" s="90" t="s">
        <v>84</v>
      </c>
    </row>
    <row r="51" spans="2:6">
      <c r="B51" s="88">
        <v>138</v>
      </c>
      <c r="D51" s="90" t="s">
        <v>85</v>
      </c>
      <c r="E51" s="90" t="s">
        <v>617</v>
      </c>
      <c r="F51" s="90" t="s">
        <v>617</v>
      </c>
    </row>
    <row r="52" spans="2:6">
      <c r="B52" s="88">
        <v>139</v>
      </c>
      <c r="C52" s="89" t="s">
        <v>508</v>
      </c>
      <c r="D52" s="90" t="s">
        <v>509</v>
      </c>
      <c r="E52" s="90" t="s">
        <v>510</v>
      </c>
      <c r="F52" s="90" t="s">
        <v>510</v>
      </c>
    </row>
    <row r="53" spans="2:6" ht="24">
      <c r="B53" s="88">
        <v>140</v>
      </c>
      <c r="D53" s="90" t="s">
        <v>86</v>
      </c>
      <c r="E53" s="90" t="s">
        <v>618</v>
      </c>
      <c r="F53" s="90" t="s">
        <v>618</v>
      </c>
    </row>
    <row r="54" spans="2:6" ht="24">
      <c r="B54" s="88">
        <v>141</v>
      </c>
      <c r="D54" s="90" t="s">
        <v>87</v>
      </c>
      <c r="E54" s="90" t="s">
        <v>619</v>
      </c>
      <c r="F54" s="90" t="s">
        <v>619</v>
      </c>
    </row>
    <row r="55" spans="2:6">
      <c r="B55" s="88">
        <v>142</v>
      </c>
      <c r="D55" s="90" t="s">
        <v>1026</v>
      </c>
      <c r="E55" s="90" t="s">
        <v>1027</v>
      </c>
      <c r="F55" s="90" t="s">
        <v>1027</v>
      </c>
    </row>
    <row r="56" spans="2:6">
      <c r="B56" s="88">
        <v>143</v>
      </c>
      <c r="C56" s="89" t="s">
        <v>585</v>
      </c>
      <c r="D56" s="87" t="s">
        <v>424</v>
      </c>
      <c r="E56" s="216" t="s">
        <v>574</v>
      </c>
      <c r="F56" s="216" t="s">
        <v>574</v>
      </c>
    </row>
    <row r="57" spans="2:6">
      <c r="B57" s="88">
        <v>144</v>
      </c>
      <c r="D57" s="90" t="s">
        <v>88</v>
      </c>
      <c r="E57" s="90" t="s">
        <v>620</v>
      </c>
      <c r="F57" s="90" t="s">
        <v>620</v>
      </c>
    </row>
    <row r="58" spans="2:6" ht="24">
      <c r="B58" s="88">
        <v>145</v>
      </c>
      <c r="D58" s="90" t="s">
        <v>89</v>
      </c>
      <c r="E58" s="90" t="s">
        <v>621</v>
      </c>
      <c r="F58" s="90" t="s">
        <v>621</v>
      </c>
    </row>
    <row r="59" spans="2:6">
      <c r="B59" s="88">
        <v>146</v>
      </c>
      <c r="D59" s="90" t="s">
        <v>90</v>
      </c>
      <c r="E59" s="90" t="s">
        <v>622</v>
      </c>
      <c r="F59" s="90" t="s">
        <v>622</v>
      </c>
    </row>
    <row r="60" spans="2:6" ht="24">
      <c r="B60" s="88">
        <v>147</v>
      </c>
      <c r="D60" s="90" t="s">
        <v>91</v>
      </c>
      <c r="E60" s="90" t="s">
        <v>623</v>
      </c>
      <c r="F60" s="90" t="s">
        <v>623</v>
      </c>
    </row>
    <row r="61" spans="2:6">
      <c r="B61" s="88">
        <v>148</v>
      </c>
      <c r="D61" s="90" t="s">
        <v>1028</v>
      </c>
      <c r="E61" s="90" t="s">
        <v>1029</v>
      </c>
      <c r="F61" s="90" t="s">
        <v>1029</v>
      </c>
    </row>
    <row r="62" spans="2:6">
      <c r="B62" s="88">
        <v>149</v>
      </c>
      <c r="D62" s="90" t="s">
        <v>1030</v>
      </c>
      <c r="E62" s="90" t="s">
        <v>1031</v>
      </c>
      <c r="F62" s="90" t="s">
        <v>1031</v>
      </c>
    </row>
    <row r="63" spans="2:6">
      <c r="B63" s="88">
        <v>150</v>
      </c>
      <c r="D63" s="90" t="s">
        <v>92</v>
      </c>
      <c r="E63" s="90" t="s">
        <v>624</v>
      </c>
      <c r="F63" s="90" t="s">
        <v>624</v>
      </c>
    </row>
    <row r="64" spans="2:6">
      <c r="B64" s="88">
        <v>151</v>
      </c>
      <c r="C64" s="89" t="s">
        <v>585</v>
      </c>
      <c r="D64" s="87" t="s">
        <v>425</v>
      </c>
      <c r="E64" s="216" t="s">
        <v>573</v>
      </c>
      <c r="F64" s="216" t="s">
        <v>573</v>
      </c>
    </row>
    <row r="65" spans="1:6">
      <c r="B65" s="88">
        <v>152</v>
      </c>
      <c r="D65" s="90" t="s">
        <v>93</v>
      </c>
      <c r="E65" s="90" t="s">
        <v>625</v>
      </c>
      <c r="F65" s="90" t="s">
        <v>625</v>
      </c>
    </row>
    <row r="66" spans="1:6">
      <c r="B66" s="88">
        <v>153</v>
      </c>
      <c r="D66" s="90" t="s">
        <v>94</v>
      </c>
      <c r="E66" s="90" t="s">
        <v>626</v>
      </c>
      <c r="F66" s="90" t="s">
        <v>626</v>
      </c>
    </row>
    <row r="67" spans="1:6">
      <c r="B67" s="88">
        <v>154</v>
      </c>
      <c r="D67" s="90" t="s">
        <v>95</v>
      </c>
      <c r="E67" s="90" t="s">
        <v>627</v>
      </c>
      <c r="F67" s="90" t="s">
        <v>627</v>
      </c>
    </row>
    <row r="68" spans="1:6" ht="24">
      <c r="B68" s="88">
        <v>155</v>
      </c>
      <c r="D68" s="90" t="s">
        <v>96</v>
      </c>
      <c r="E68" s="90" t="s">
        <v>628</v>
      </c>
      <c r="F68" s="90" t="s">
        <v>628</v>
      </c>
    </row>
    <row r="69" spans="1:6">
      <c r="B69" s="88">
        <v>156</v>
      </c>
      <c r="C69" s="89" t="s">
        <v>585</v>
      </c>
      <c r="D69" s="87" t="s">
        <v>583</v>
      </c>
      <c r="E69" s="216" t="s">
        <v>576</v>
      </c>
      <c r="F69" s="216" t="s">
        <v>576</v>
      </c>
    </row>
    <row r="70" spans="1:6">
      <c r="B70" s="88">
        <v>157</v>
      </c>
      <c r="C70" s="89" t="s">
        <v>585</v>
      </c>
      <c r="D70" s="87" t="s">
        <v>582</v>
      </c>
      <c r="E70" s="216" t="s">
        <v>575</v>
      </c>
      <c r="F70" s="216" t="s">
        <v>575</v>
      </c>
    </row>
    <row r="71" spans="1:6">
      <c r="B71" s="88">
        <v>158</v>
      </c>
      <c r="D71" s="90" t="s">
        <v>426</v>
      </c>
      <c r="E71" s="90" t="s">
        <v>629</v>
      </c>
      <c r="F71" s="90" t="s">
        <v>629</v>
      </c>
    </row>
    <row r="72" spans="1:6">
      <c r="A72" s="217"/>
      <c r="B72" s="88">
        <v>159</v>
      </c>
      <c r="C72" s="214" t="s">
        <v>490</v>
      </c>
      <c r="D72" s="212" t="s">
        <v>511</v>
      </c>
      <c r="E72" s="212" t="s">
        <v>630</v>
      </c>
      <c r="F72" s="212" t="s">
        <v>630</v>
      </c>
    </row>
    <row r="73" spans="1:6">
      <c r="B73" s="88">
        <v>160</v>
      </c>
      <c r="D73" s="90" t="s">
        <v>97</v>
      </c>
      <c r="E73" s="212" t="s">
        <v>631</v>
      </c>
      <c r="F73" s="212" t="s">
        <v>631</v>
      </c>
    </row>
    <row r="74" spans="1:6">
      <c r="B74" s="88">
        <v>161</v>
      </c>
      <c r="D74" s="90" t="s">
        <v>98</v>
      </c>
      <c r="E74" s="212" t="s">
        <v>632</v>
      </c>
      <c r="F74" s="212" t="s">
        <v>632</v>
      </c>
    </row>
    <row r="75" spans="1:6">
      <c r="B75" s="88">
        <v>162</v>
      </c>
      <c r="D75" s="90" t="s">
        <v>1056</v>
      </c>
      <c r="E75" s="90" t="s">
        <v>1051</v>
      </c>
      <c r="F75" s="90" t="s">
        <v>1051</v>
      </c>
    </row>
    <row r="76" spans="1:6">
      <c r="B76" s="88">
        <v>163</v>
      </c>
      <c r="D76" s="90" t="s">
        <v>1052</v>
      </c>
      <c r="E76" s="90" t="s">
        <v>1053</v>
      </c>
      <c r="F76" s="90" t="s">
        <v>1053</v>
      </c>
    </row>
    <row r="77" spans="1:6">
      <c r="B77" s="88">
        <v>164</v>
      </c>
      <c r="D77" s="90" t="s">
        <v>1049</v>
      </c>
      <c r="E77" s="90" t="s">
        <v>1050</v>
      </c>
      <c r="F77" s="90" t="s">
        <v>1050</v>
      </c>
    </row>
    <row r="78" spans="1:6">
      <c r="A78" s="217"/>
      <c r="B78" s="88">
        <v>165</v>
      </c>
      <c r="C78" s="214" t="s">
        <v>490</v>
      </c>
      <c r="D78" s="212" t="s">
        <v>512</v>
      </c>
      <c r="E78" s="212" t="s">
        <v>633</v>
      </c>
      <c r="F78" s="212" t="s">
        <v>633</v>
      </c>
    </row>
    <row r="79" spans="1:6">
      <c r="A79" s="217"/>
      <c r="B79" s="88">
        <v>166</v>
      </c>
      <c r="C79" s="214" t="s">
        <v>490</v>
      </c>
      <c r="D79" s="212" t="s">
        <v>513</v>
      </c>
      <c r="E79" s="212" t="s">
        <v>634</v>
      </c>
      <c r="F79" s="212" t="s">
        <v>634</v>
      </c>
    </row>
    <row r="80" spans="1:6">
      <c r="A80" s="217"/>
      <c r="B80" s="88">
        <v>167</v>
      </c>
      <c r="C80" s="214" t="s">
        <v>490</v>
      </c>
      <c r="D80" s="212" t="s">
        <v>514</v>
      </c>
      <c r="E80" s="212" t="s">
        <v>635</v>
      </c>
      <c r="F80" s="212" t="s">
        <v>635</v>
      </c>
    </row>
    <row r="81" spans="1:6">
      <c r="A81" s="217"/>
      <c r="B81" s="88">
        <v>168</v>
      </c>
      <c r="C81" s="214" t="s">
        <v>490</v>
      </c>
      <c r="D81" s="212" t="s">
        <v>498</v>
      </c>
      <c r="E81" s="212" t="s">
        <v>636</v>
      </c>
      <c r="F81" s="212" t="s">
        <v>636</v>
      </c>
    </row>
    <row r="82" spans="1:6">
      <c r="B82" s="88">
        <v>169</v>
      </c>
      <c r="D82" s="90" t="s">
        <v>99</v>
      </c>
      <c r="E82" s="90" t="s">
        <v>637</v>
      </c>
      <c r="F82" s="90" t="s">
        <v>637</v>
      </c>
    </row>
    <row r="83" spans="1:6">
      <c r="B83" s="88">
        <v>170</v>
      </c>
      <c r="D83" s="90" t="s">
        <v>100</v>
      </c>
      <c r="E83" s="90" t="s">
        <v>638</v>
      </c>
      <c r="F83" s="90" t="s">
        <v>638</v>
      </c>
    </row>
    <row r="84" spans="1:6">
      <c r="B84" s="88">
        <v>171</v>
      </c>
      <c r="D84" s="90" t="s">
        <v>515</v>
      </c>
      <c r="E84" s="90" t="s">
        <v>639</v>
      </c>
      <c r="F84" s="90" t="s">
        <v>639</v>
      </c>
    </row>
    <row r="85" spans="1:6">
      <c r="B85" s="88">
        <v>172</v>
      </c>
      <c r="D85" s="90" t="s">
        <v>101</v>
      </c>
      <c r="E85" s="90" t="s">
        <v>640</v>
      </c>
      <c r="F85" s="90" t="s">
        <v>640</v>
      </c>
    </row>
    <row r="86" spans="1:6">
      <c r="B86" s="88">
        <v>173</v>
      </c>
      <c r="D86" s="90" t="s">
        <v>102</v>
      </c>
      <c r="E86" s="90" t="s">
        <v>641</v>
      </c>
      <c r="F86" s="90" t="s">
        <v>641</v>
      </c>
    </row>
    <row r="87" spans="1:6">
      <c r="B87" s="88">
        <v>174</v>
      </c>
      <c r="D87" s="90" t="s">
        <v>103</v>
      </c>
      <c r="E87" s="90" t="s">
        <v>1134</v>
      </c>
      <c r="F87" s="90" t="s">
        <v>1134</v>
      </c>
    </row>
    <row r="88" spans="1:6">
      <c r="B88" s="88">
        <v>175</v>
      </c>
      <c r="D88" s="90" t="s">
        <v>104</v>
      </c>
      <c r="E88" s="90" t="s">
        <v>642</v>
      </c>
      <c r="F88" s="90" t="s">
        <v>642</v>
      </c>
    </row>
    <row r="89" spans="1:6" ht="24">
      <c r="B89" s="88">
        <v>176</v>
      </c>
      <c r="D89" s="90" t="s">
        <v>105</v>
      </c>
      <c r="E89" s="90" t="s">
        <v>567</v>
      </c>
      <c r="F89" s="90" t="s">
        <v>567</v>
      </c>
    </row>
    <row r="90" spans="1:6">
      <c r="B90" s="88">
        <v>177</v>
      </c>
      <c r="D90" s="90" t="s">
        <v>106</v>
      </c>
      <c r="E90" s="90" t="s">
        <v>643</v>
      </c>
      <c r="F90" s="90" t="s">
        <v>643</v>
      </c>
    </row>
    <row r="91" spans="1:6">
      <c r="B91" s="88">
        <v>178</v>
      </c>
      <c r="D91" s="90" t="s">
        <v>107</v>
      </c>
      <c r="E91" s="90" t="s">
        <v>644</v>
      </c>
      <c r="F91" s="90" t="s">
        <v>644</v>
      </c>
    </row>
    <row r="92" spans="1:6">
      <c r="B92" s="88">
        <v>179</v>
      </c>
      <c r="D92" s="90" t="s">
        <v>108</v>
      </c>
      <c r="E92" s="90" t="s">
        <v>645</v>
      </c>
      <c r="F92" s="90" t="s">
        <v>645</v>
      </c>
    </row>
    <row r="93" spans="1:6">
      <c r="B93" s="88">
        <v>180</v>
      </c>
      <c r="D93" s="90" t="s">
        <v>427</v>
      </c>
      <c r="E93" s="90" t="s">
        <v>646</v>
      </c>
      <c r="F93" s="90" t="s">
        <v>646</v>
      </c>
    </row>
    <row r="94" spans="1:6">
      <c r="B94" s="88">
        <v>181</v>
      </c>
      <c r="C94" s="89" t="s">
        <v>1145</v>
      </c>
      <c r="D94" s="90" t="s">
        <v>1198</v>
      </c>
      <c r="E94" s="90" t="s">
        <v>1161</v>
      </c>
      <c r="F94" s="90" t="s">
        <v>1161</v>
      </c>
    </row>
    <row r="95" spans="1:6" ht="36">
      <c r="B95" s="88">
        <v>182</v>
      </c>
      <c r="C95" s="89" t="s">
        <v>1145</v>
      </c>
      <c r="D95" s="90" t="s">
        <v>1231</v>
      </c>
      <c r="E95" s="90" t="s">
        <v>1170</v>
      </c>
      <c r="F95" s="90" t="s">
        <v>1170</v>
      </c>
    </row>
    <row r="96" spans="1:6">
      <c r="B96" s="88">
        <v>183</v>
      </c>
      <c r="D96" s="90" t="s">
        <v>109</v>
      </c>
      <c r="E96" s="90" t="s">
        <v>647</v>
      </c>
      <c r="F96" s="90" t="s">
        <v>647</v>
      </c>
    </row>
    <row r="97" spans="2:6">
      <c r="B97" s="88">
        <v>184</v>
      </c>
      <c r="D97" s="90" t="s">
        <v>1413</v>
      </c>
      <c r="E97" s="90" t="s">
        <v>1496</v>
      </c>
      <c r="F97" s="90" t="s">
        <v>1496</v>
      </c>
    </row>
    <row r="98" spans="2:6">
      <c r="B98" s="88">
        <v>185</v>
      </c>
      <c r="D98" s="90" t="s">
        <v>110</v>
      </c>
      <c r="E98" s="90" t="s">
        <v>648</v>
      </c>
      <c r="F98" s="90" t="s">
        <v>648</v>
      </c>
    </row>
    <row r="99" spans="2:6" ht="24">
      <c r="B99" s="88">
        <v>186</v>
      </c>
      <c r="D99" s="90" t="s">
        <v>111</v>
      </c>
      <c r="E99" s="90" t="s">
        <v>649</v>
      </c>
      <c r="F99" s="90" t="s">
        <v>649</v>
      </c>
    </row>
    <row r="100" spans="2:6" ht="24">
      <c r="B100" s="88">
        <v>187</v>
      </c>
      <c r="D100" s="90" t="s">
        <v>112</v>
      </c>
      <c r="E100" s="90" t="s">
        <v>650</v>
      </c>
      <c r="F100" s="90" t="s">
        <v>650</v>
      </c>
    </row>
    <row r="101" spans="2:6" ht="24">
      <c r="B101" s="88">
        <v>188</v>
      </c>
      <c r="D101" s="90" t="s">
        <v>113</v>
      </c>
      <c r="E101" s="90" t="s">
        <v>651</v>
      </c>
      <c r="F101" s="90" t="s">
        <v>651</v>
      </c>
    </row>
    <row r="102" spans="2:6">
      <c r="B102" s="88">
        <v>189</v>
      </c>
      <c r="D102" s="90" t="s">
        <v>114</v>
      </c>
      <c r="E102" s="90" t="s">
        <v>652</v>
      </c>
      <c r="F102" s="90" t="s">
        <v>652</v>
      </c>
    </row>
    <row r="103" spans="2:6">
      <c r="B103" s="88">
        <v>190</v>
      </c>
      <c r="C103" s="89" t="s">
        <v>1145</v>
      </c>
      <c r="D103" s="90" t="s">
        <v>1196</v>
      </c>
      <c r="E103" s="90" t="s">
        <v>1160</v>
      </c>
      <c r="F103" s="90" t="s">
        <v>1160</v>
      </c>
    </row>
    <row r="104" spans="2:6">
      <c r="B104" s="88">
        <v>191</v>
      </c>
      <c r="D104" s="90" t="s">
        <v>1238</v>
      </c>
      <c r="E104" s="90" t="s">
        <v>1239</v>
      </c>
      <c r="F104" s="90" t="s">
        <v>1239</v>
      </c>
    </row>
    <row r="105" spans="2:6">
      <c r="B105" s="88">
        <v>192</v>
      </c>
      <c r="D105" s="90" t="s">
        <v>546</v>
      </c>
      <c r="E105" s="90" t="s">
        <v>548</v>
      </c>
      <c r="F105" s="90" t="s">
        <v>548</v>
      </c>
    </row>
    <row r="106" spans="2:6">
      <c r="B106" s="88">
        <v>193</v>
      </c>
      <c r="D106" s="90" t="s">
        <v>547</v>
      </c>
      <c r="E106" s="90" t="s">
        <v>956</v>
      </c>
      <c r="F106" s="90" t="s">
        <v>956</v>
      </c>
    </row>
    <row r="107" spans="2:6">
      <c r="B107" s="88">
        <v>194</v>
      </c>
      <c r="D107" s="90" t="s">
        <v>115</v>
      </c>
      <c r="E107" s="90" t="s">
        <v>653</v>
      </c>
      <c r="F107" s="90" t="s">
        <v>653</v>
      </c>
    </row>
    <row r="108" spans="2:6">
      <c r="B108" s="88">
        <v>195</v>
      </c>
      <c r="D108" s="90" t="s">
        <v>116</v>
      </c>
      <c r="E108" s="90" t="s">
        <v>654</v>
      </c>
      <c r="F108" s="90" t="s">
        <v>654</v>
      </c>
    </row>
    <row r="109" spans="2:6">
      <c r="B109" s="88">
        <v>196</v>
      </c>
      <c r="D109" s="90" t="s">
        <v>428</v>
      </c>
      <c r="E109" s="90" t="s">
        <v>655</v>
      </c>
      <c r="F109" s="90" t="s">
        <v>655</v>
      </c>
    </row>
    <row r="110" spans="2:6" ht="24">
      <c r="B110" s="88">
        <v>197</v>
      </c>
      <c r="D110" s="90" t="s">
        <v>429</v>
      </c>
      <c r="E110" s="90" t="s">
        <v>656</v>
      </c>
      <c r="F110" s="90" t="s">
        <v>656</v>
      </c>
    </row>
    <row r="111" spans="2:6" ht="24">
      <c r="B111" s="88">
        <v>198</v>
      </c>
      <c r="D111" s="90" t="s">
        <v>117</v>
      </c>
      <c r="E111" s="90" t="s">
        <v>657</v>
      </c>
      <c r="F111" s="90" t="s">
        <v>657</v>
      </c>
    </row>
    <row r="112" spans="2:6">
      <c r="B112" s="88">
        <v>199</v>
      </c>
      <c r="D112" s="90" t="s">
        <v>1415</v>
      </c>
      <c r="E112" s="90" t="s">
        <v>1497</v>
      </c>
      <c r="F112" s="90" t="s">
        <v>1497</v>
      </c>
    </row>
    <row r="113" spans="2:6">
      <c r="B113" s="88">
        <v>200</v>
      </c>
      <c r="D113" s="90" t="s">
        <v>118</v>
      </c>
      <c r="E113" s="90" t="s">
        <v>119</v>
      </c>
      <c r="F113" s="90" t="s">
        <v>119</v>
      </c>
    </row>
    <row r="114" spans="2:6">
      <c r="B114" s="88">
        <v>201</v>
      </c>
      <c r="D114" s="90" t="s">
        <v>1318</v>
      </c>
      <c r="E114" s="90" t="s">
        <v>1319</v>
      </c>
      <c r="F114" s="90" t="s">
        <v>1319</v>
      </c>
    </row>
    <row r="115" spans="2:6">
      <c r="B115" s="88">
        <v>202</v>
      </c>
      <c r="D115" s="90" t="s">
        <v>430</v>
      </c>
      <c r="E115" s="90" t="s">
        <v>658</v>
      </c>
      <c r="F115" s="90" t="s">
        <v>658</v>
      </c>
    </row>
    <row r="116" spans="2:6">
      <c r="B116" s="88">
        <v>203</v>
      </c>
      <c r="D116" s="90" t="s">
        <v>431</v>
      </c>
      <c r="E116" s="90" t="s">
        <v>659</v>
      </c>
      <c r="F116" s="90" t="s">
        <v>659</v>
      </c>
    </row>
    <row r="117" spans="2:6">
      <c r="B117" s="88">
        <v>204</v>
      </c>
      <c r="D117" s="90" t="s">
        <v>432</v>
      </c>
      <c r="E117" s="90" t="s">
        <v>523</v>
      </c>
      <c r="F117" s="90" t="s">
        <v>523</v>
      </c>
    </row>
    <row r="118" spans="2:6">
      <c r="B118" s="88">
        <v>205</v>
      </c>
      <c r="D118" s="90" t="s">
        <v>1272</v>
      </c>
      <c r="E118" s="90" t="s">
        <v>1271</v>
      </c>
      <c r="F118" s="90" t="s">
        <v>1271</v>
      </c>
    </row>
    <row r="119" spans="2:6">
      <c r="B119" s="88">
        <v>206</v>
      </c>
      <c r="D119" s="90" t="s">
        <v>1252</v>
      </c>
      <c r="E119" s="90" t="s">
        <v>1253</v>
      </c>
      <c r="F119" s="90" t="s">
        <v>1253</v>
      </c>
    </row>
    <row r="120" spans="2:6">
      <c r="B120" s="88">
        <v>207</v>
      </c>
      <c r="D120" s="90" t="s">
        <v>120</v>
      </c>
      <c r="E120" s="90" t="s">
        <v>660</v>
      </c>
      <c r="F120" s="90" t="s">
        <v>660</v>
      </c>
    </row>
    <row r="121" spans="2:6" ht="24">
      <c r="B121" s="88">
        <v>208</v>
      </c>
      <c r="D121" s="90" t="s">
        <v>121</v>
      </c>
      <c r="E121" s="90" t="s">
        <v>661</v>
      </c>
      <c r="F121" s="90" t="s">
        <v>661</v>
      </c>
    </row>
    <row r="122" spans="2:6" ht="24">
      <c r="B122" s="88">
        <v>209</v>
      </c>
      <c r="D122" s="90" t="s">
        <v>122</v>
      </c>
      <c r="E122" s="90" t="s">
        <v>662</v>
      </c>
      <c r="F122" s="90" t="s">
        <v>662</v>
      </c>
    </row>
    <row r="123" spans="2:6">
      <c r="B123" s="88">
        <v>210</v>
      </c>
      <c r="D123" s="90" t="s">
        <v>550</v>
      </c>
      <c r="E123" s="90" t="s">
        <v>955</v>
      </c>
      <c r="F123" s="90" t="s">
        <v>955</v>
      </c>
    </row>
    <row r="124" spans="2:6">
      <c r="B124" s="88">
        <v>211</v>
      </c>
      <c r="D124" s="90" t="s">
        <v>123</v>
      </c>
      <c r="E124" s="90" t="s">
        <v>123</v>
      </c>
      <c r="F124" s="90" t="s">
        <v>123</v>
      </c>
    </row>
    <row r="125" spans="2:6">
      <c r="B125" s="88">
        <v>212</v>
      </c>
      <c r="D125" s="90" t="s">
        <v>124</v>
      </c>
      <c r="E125" s="90" t="s">
        <v>663</v>
      </c>
      <c r="F125" s="90" t="s">
        <v>663</v>
      </c>
    </row>
    <row r="126" spans="2:6">
      <c r="B126" s="88">
        <v>213</v>
      </c>
      <c r="D126" s="90" t="s">
        <v>125</v>
      </c>
      <c r="E126" s="90" t="s">
        <v>564</v>
      </c>
      <c r="F126" s="90" t="s">
        <v>564</v>
      </c>
    </row>
    <row r="127" spans="2:6">
      <c r="B127" s="88">
        <v>214</v>
      </c>
      <c r="D127" s="90" t="s">
        <v>126</v>
      </c>
      <c r="E127" s="90" t="s">
        <v>1013</v>
      </c>
      <c r="F127" s="90" t="s">
        <v>1013</v>
      </c>
    </row>
    <row r="128" spans="2:6">
      <c r="B128" s="88">
        <v>215</v>
      </c>
      <c r="D128" s="90" t="s">
        <v>433</v>
      </c>
      <c r="E128" s="90" t="s">
        <v>664</v>
      </c>
      <c r="F128" s="90" t="s">
        <v>664</v>
      </c>
    </row>
    <row r="129" spans="2:6">
      <c r="B129" s="88">
        <v>216</v>
      </c>
      <c r="D129" s="90" t="s">
        <v>127</v>
      </c>
      <c r="E129" s="90" t="s">
        <v>665</v>
      </c>
      <c r="F129" s="90" t="s">
        <v>665</v>
      </c>
    </row>
    <row r="130" spans="2:6">
      <c r="B130" s="88">
        <v>217</v>
      </c>
      <c r="D130" s="90" t="s">
        <v>434</v>
      </c>
      <c r="E130" s="90" t="s">
        <v>666</v>
      </c>
      <c r="F130" s="90" t="s">
        <v>666</v>
      </c>
    </row>
    <row r="131" spans="2:6">
      <c r="B131" s="88">
        <v>218</v>
      </c>
      <c r="D131" s="90" t="s">
        <v>128</v>
      </c>
      <c r="E131" s="90" t="s">
        <v>667</v>
      </c>
      <c r="F131" s="90" t="s">
        <v>667</v>
      </c>
    </row>
    <row r="132" spans="2:6">
      <c r="B132" s="88">
        <v>219</v>
      </c>
      <c r="D132" s="90" t="s">
        <v>129</v>
      </c>
      <c r="E132" s="90" t="s">
        <v>668</v>
      </c>
      <c r="F132" s="90" t="s">
        <v>668</v>
      </c>
    </row>
    <row r="133" spans="2:6">
      <c r="B133" s="88">
        <v>220</v>
      </c>
      <c r="D133" s="90" t="s">
        <v>130</v>
      </c>
      <c r="E133" s="90" t="s">
        <v>669</v>
      </c>
      <c r="F133" s="90" t="s">
        <v>669</v>
      </c>
    </row>
    <row r="134" spans="2:6">
      <c r="B134" s="88">
        <v>221</v>
      </c>
      <c r="D134" s="90" t="s">
        <v>435</v>
      </c>
      <c r="E134" s="90" t="s">
        <v>670</v>
      </c>
      <c r="F134" s="90" t="s">
        <v>670</v>
      </c>
    </row>
    <row r="135" spans="2:6">
      <c r="B135" s="88">
        <v>222</v>
      </c>
      <c r="D135" s="90" t="s">
        <v>131</v>
      </c>
      <c r="E135" s="90" t="s">
        <v>671</v>
      </c>
      <c r="F135" s="90" t="s">
        <v>671</v>
      </c>
    </row>
    <row r="136" spans="2:6">
      <c r="B136" s="88">
        <v>223</v>
      </c>
      <c r="D136" s="90" t="s">
        <v>132</v>
      </c>
      <c r="E136" s="90" t="s">
        <v>672</v>
      </c>
      <c r="F136" s="90" t="s">
        <v>672</v>
      </c>
    </row>
    <row r="137" spans="2:6">
      <c r="B137" s="88">
        <v>224</v>
      </c>
      <c r="C137" s="89" t="s">
        <v>585</v>
      </c>
      <c r="D137" s="90" t="s">
        <v>980</v>
      </c>
      <c r="E137" s="90" t="s">
        <v>981</v>
      </c>
      <c r="F137" s="90" t="s">
        <v>981</v>
      </c>
    </row>
    <row r="138" spans="2:6">
      <c r="B138" s="88">
        <v>225</v>
      </c>
      <c r="D138" s="90" t="s">
        <v>133</v>
      </c>
      <c r="E138" s="90" t="s">
        <v>673</v>
      </c>
      <c r="F138" s="90" t="s">
        <v>673</v>
      </c>
    </row>
    <row r="139" spans="2:6">
      <c r="B139" s="88">
        <v>226</v>
      </c>
      <c r="D139" s="90" t="s">
        <v>1233</v>
      </c>
      <c r="E139" s="90" t="s">
        <v>1234</v>
      </c>
      <c r="F139" s="90" t="s">
        <v>1234</v>
      </c>
    </row>
    <row r="140" spans="2:6">
      <c r="B140" s="88">
        <v>227</v>
      </c>
      <c r="D140" s="90" t="s">
        <v>436</v>
      </c>
      <c r="E140" s="90" t="s">
        <v>674</v>
      </c>
      <c r="F140" s="90" t="s">
        <v>674</v>
      </c>
    </row>
    <row r="141" spans="2:6">
      <c r="B141" s="88">
        <v>228</v>
      </c>
      <c r="D141" s="90" t="s">
        <v>437</v>
      </c>
      <c r="E141" s="90" t="s">
        <v>675</v>
      </c>
      <c r="F141" s="90" t="s">
        <v>675</v>
      </c>
    </row>
    <row r="142" spans="2:6">
      <c r="B142" s="88">
        <v>229</v>
      </c>
      <c r="D142" s="90" t="s">
        <v>1097</v>
      </c>
      <c r="E142" s="90" t="s">
        <v>1098</v>
      </c>
      <c r="F142" s="90" t="s">
        <v>1098</v>
      </c>
    </row>
    <row r="143" spans="2:6">
      <c r="B143" s="88">
        <v>230</v>
      </c>
      <c r="D143" s="90" t="s">
        <v>1095</v>
      </c>
      <c r="E143" s="90" t="s">
        <v>1096</v>
      </c>
      <c r="F143" s="90" t="s">
        <v>1096</v>
      </c>
    </row>
    <row r="144" spans="2:6">
      <c r="B144" s="88">
        <v>231</v>
      </c>
      <c r="D144" s="90" t="s">
        <v>438</v>
      </c>
      <c r="E144" s="90" t="s">
        <v>676</v>
      </c>
      <c r="F144" s="90" t="s">
        <v>676</v>
      </c>
    </row>
    <row r="145" spans="2:6">
      <c r="B145" s="88">
        <v>232</v>
      </c>
      <c r="D145" s="90" t="s">
        <v>1262</v>
      </c>
      <c r="E145" s="90" t="s">
        <v>1263</v>
      </c>
      <c r="F145" s="90" t="s">
        <v>1263</v>
      </c>
    </row>
    <row r="146" spans="2:6">
      <c r="B146" s="88">
        <v>233</v>
      </c>
      <c r="D146" s="90" t="s">
        <v>439</v>
      </c>
      <c r="E146" s="90" t="s">
        <v>677</v>
      </c>
      <c r="F146" s="90" t="s">
        <v>677</v>
      </c>
    </row>
    <row r="147" spans="2:6">
      <c r="B147" s="88">
        <v>234</v>
      </c>
      <c r="D147" s="90" t="s">
        <v>440</v>
      </c>
      <c r="E147" s="90" t="s">
        <v>678</v>
      </c>
      <c r="F147" s="90" t="s">
        <v>678</v>
      </c>
    </row>
    <row r="148" spans="2:6">
      <c r="B148" s="88">
        <v>235</v>
      </c>
      <c r="D148" s="90" t="s">
        <v>134</v>
      </c>
      <c r="E148" s="90" t="s">
        <v>563</v>
      </c>
      <c r="F148" s="90" t="s">
        <v>563</v>
      </c>
    </row>
    <row r="149" spans="2:6">
      <c r="B149" s="88">
        <v>236</v>
      </c>
      <c r="D149" s="90" t="s">
        <v>441</v>
      </c>
      <c r="E149" s="90" t="s">
        <v>679</v>
      </c>
      <c r="F149" s="90" t="s">
        <v>679</v>
      </c>
    </row>
    <row r="150" spans="2:6">
      <c r="B150" s="88">
        <v>237</v>
      </c>
      <c r="D150" s="90" t="s">
        <v>1259</v>
      </c>
      <c r="E150" s="90" t="s">
        <v>1266</v>
      </c>
      <c r="F150" s="90" t="s">
        <v>1266</v>
      </c>
    </row>
    <row r="151" spans="2:6">
      <c r="B151" s="88">
        <v>238</v>
      </c>
      <c r="D151" s="90" t="s">
        <v>135</v>
      </c>
      <c r="E151" s="90" t="s">
        <v>533</v>
      </c>
      <c r="F151" s="90" t="s">
        <v>533</v>
      </c>
    </row>
    <row r="152" spans="2:6">
      <c r="B152" s="88">
        <v>239</v>
      </c>
      <c r="D152" s="90" t="s">
        <v>136</v>
      </c>
      <c r="E152" s="90" t="s">
        <v>680</v>
      </c>
      <c r="F152" s="90" t="s">
        <v>680</v>
      </c>
    </row>
    <row r="153" spans="2:6">
      <c r="B153" s="88">
        <v>240</v>
      </c>
      <c r="D153" s="90" t="s">
        <v>137</v>
      </c>
      <c r="E153" s="90" t="s">
        <v>681</v>
      </c>
      <c r="F153" s="90" t="s">
        <v>681</v>
      </c>
    </row>
    <row r="154" spans="2:6">
      <c r="B154" s="88">
        <v>241</v>
      </c>
      <c r="D154" s="90" t="s">
        <v>442</v>
      </c>
      <c r="E154" s="90" t="s">
        <v>682</v>
      </c>
      <c r="F154" s="90" t="s">
        <v>682</v>
      </c>
    </row>
    <row r="155" spans="2:6">
      <c r="B155" s="88">
        <v>242</v>
      </c>
      <c r="D155" s="90" t="s">
        <v>443</v>
      </c>
      <c r="E155" s="90" t="s">
        <v>683</v>
      </c>
      <c r="F155" s="90" t="s">
        <v>683</v>
      </c>
    </row>
    <row r="156" spans="2:6">
      <c r="B156" s="88">
        <v>243</v>
      </c>
      <c r="D156" s="90" t="s">
        <v>1235</v>
      </c>
      <c r="E156" s="90" t="s">
        <v>543</v>
      </c>
      <c r="F156" s="90" t="s">
        <v>543</v>
      </c>
    </row>
    <row r="157" spans="2:6">
      <c r="B157" s="88">
        <v>244</v>
      </c>
      <c r="D157" s="90" t="s">
        <v>530</v>
      </c>
      <c r="E157" s="90" t="s">
        <v>684</v>
      </c>
      <c r="F157" s="90" t="s">
        <v>684</v>
      </c>
    </row>
    <row r="158" spans="2:6">
      <c r="B158" s="88">
        <v>245</v>
      </c>
      <c r="D158" s="90" t="s">
        <v>444</v>
      </c>
      <c r="E158" s="90" t="s">
        <v>685</v>
      </c>
      <c r="F158" s="90" t="s">
        <v>685</v>
      </c>
    </row>
    <row r="159" spans="2:6">
      <c r="B159" s="88">
        <v>246</v>
      </c>
      <c r="D159" s="90" t="s">
        <v>445</v>
      </c>
      <c r="E159" s="90" t="s">
        <v>686</v>
      </c>
      <c r="F159" s="90" t="s">
        <v>686</v>
      </c>
    </row>
    <row r="160" spans="2:6">
      <c r="B160" s="88">
        <v>247</v>
      </c>
      <c r="D160" s="90" t="s">
        <v>1237</v>
      </c>
      <c r="E160" s="90" t="s">
        <v>1283</v>
      </c>
      <c r="F160" s="90" t="s">
        <v>1283</v>
      </c>
    </row>
    <row r="161" spans="2:6">
      <c r="B161" s="88">
        <v>248</v>
      </c>
      <c r="D161" s="90" t="s">
        <v>446</v>
      </c>
      <c r="E161" s="90" t="s">
        <v>687</v>
      </c>
      <c r="F161" s="90" t="s">
        <v>687</v>
      </c>
    </row>
    <row r="162" spans="2:6">
      <c r="B162" s="88">
        <v>249</v>
      </c>
      <c r="D162" s="90" t="s">
        <v>447</v>
      </c>
      <c r="E162" s="90" t="s">
        <v>688</v>
      </c>
      <c r="F162" s="90" t="s">
        <v>688</v>
      </c>
    </row>
    <row r="163" spans="2:6">
      <c r="B163" s="88">
        <v>250</v>
      </c>
      <c r="D163" s="90" t="s">
        <v>138</v>
      </c>
      <c r="E163" s="90" t="s">
        <v>689</v>
      </c>
      <c r="F163" s="90" t="s">
        <v>689</v>
      </c>
    </row>
    <row r="164" spans="2:6">
      <c r="B164" s="88">
        <v>251</v>
      </c>
      <c r="D164" s="90" t="s">
        <v>139</v>
      </c>
      <c r="E164" s="90" t="s">
        <v>690</v>
      </c>
      <c r="F164" s="90" t="s">
        <v>690</v>
      </c>
    </row>
    <row r="165" spans="2:6">
      <c r="B165" s="88">
        <v>252</v>
      </c>
      <c r="D165" s="90" t="s">
        <v>1236</v>
      </c>
      <c r="E165" s="90" t="s">
        <v>1282</v>
      </c>
      <c r="F165" s="90" t="s">
        <v>1282</v>
      </c>
    </row>
    <row r="166" spans="2:6">
      <c r="B166" s="88">
        <v>253</v>
      </c>
      <c r="D166" s="90" t="s">
        <v>1502</v>
      </c>
      <c r="E166" s="90" t="s">
        <v>1503</v>
      </c>
      <c r="F166" s="90" t="s">
        <v>1503</v>
      </c>
    </row>
    <row r="167" spans="2:6">
      <c r="B167" s="88">
        <v>254</v>
      </c>
      <c r="D167" s="90" t="s">
        <v>140</v>
      </c>
      <c r="E167" s="90" t="s">
        <v>691</v>
      </c>
      <c r="F167" s="90" t="s">
        <v>691</v>
      </c>
    </row>
    <row r="168" spans="2:6">
      <c r="B168" s="88">
        <v>255</v>
      </c>
      <c r="C168" s="89" t="s">
        <v>585</v>
      </c>
      <c r="D168" s="90" t="s">
        <v>969</v>
      </c>
      <c r="E168" s="90" t="s">
        <v>971</v>
      </c>
      <c r="F168" s="90" t="s">
        <v>971</v>
      </c>
    </row>
    <row r="169" spans="2:6">
      <c r="B169" s="88">
        <v>256</v>
      </c>
      <c r="D169" s="90" t="s">
        <v>141</v>
      </c>
      <c r="E169" s="90" t="s">
        <v>692</v>
      </c>
      <c r="F169" s="90" t="s">
        <v>692</v>
      </c>
    </row>
    <row r="170" spans="2:6">
      <c r="B170" s="88">
        <v>257</v>
      </c>
      <c r="D170" s="90" t="s">
        <v>448</v>
      </c>
      <c r="E170" s="90" t="s">
        <v>693</v>
      </c>
      <c r="F170" s="90" t="s">
        <v>693</v>
      </c>
    </row>
    <row r="171" spans="2:6">
      <c r="B171" s="88">
        <v>258</v>
      </c>
      <c r="D171" s="90" t="s">
        <v>449</v>
      </c>
      <c r="E171" s="90" t="s">
        <v>694</v>
      </c>
      <c r="F171" s="90" t="s">
        <v>694</v>
      </c>
    </row>
    <row r="172" spans="2:6">
      <c r="B172" s="88">
        <v>259</v>
      </c>
      <c r="D172" s="90" t="s">
        <v>450</v>
      </c>
      <c r="E172" s="90" t="s">
        <v>695</v>
      </c>
      <c r="F172" s="90" t="s">
        <v>695</v>
      </c>
    </row>
    <row r="173" spans="2:6">
      <c r="B173" s="88">
        <v>260</v>
      </c>
      <c r="D173" s="90" t="s">
        <v>1070</v>
      </c>
      <c r="E173" s="90" t="s">
        <v>1048</v>
      </c>
      <c r="F173" s="90" t="s">
        <v>1048</v>
      </c>
    </row>
    <row r="174" spans="2:6">
      <c r="B174" s="88">
        <v>261</v>
      </c>
      <c r="D174" s="90" t="s">
        <v>1072</v>
      </c>
      <c r="E174" s="90" t="s">
        <v>1074</v>
      </c>
      <c r="F174" s="90" t="s">
        <v>1074</v>
      </c>
    </row>
    <row r="175" spans="2:6" ht="24">
      <c r="B175" s="88">
        <v>262</v>
      </c>
      <c r="D175" s="90" t="s">
        <v>1073</v>
      </c>
      <c r="E175" s="90" t="s">
        <v>1075</v>
      </c>
      <c r="F175" s="90" t="s">
        <v>1075</v>
      </c>
    </row>
    <row r="176" spans="2:6" ht="24">
      <c r="B176" s="88">
        <v>263</v>
      </c>
      <c r="D176" s="90" t="s">
        <v>1132</v>
      </c>
      <c r="E176" s="90" t="s">
        <v>1133</v>
      </c>
      <c r="F176" s="90" t="s">
        <v>1133</v>
      </c>
    </row>
    <row r="177" spans="2:6">
      <c r="B177" s="88">
        <v>264</v>
      </c>
      <c r="D177" s="90" t="s">
        <v>1071</v>
      </c>
      <c r="E177" s="90" t="s">
        <v>1033</v>
      </c>
      <c r="F177" s="90" t="s">
        <v>1033</v>
      </c>
    </row>
    <row r="178" spans="2:6">
      <c r="B178" s="88">
        <v>265</v>
      </c>
      <c r="D178" s="90" t="s">
        <v>1077</v>
      </c>
      <c r="E178" s="90" t="s">
        <v>1078</v>
      </c>
      <c r="F178" s="90" t="s">
        <v>1078</v>
      </c>
    </row>
    <row r="179" spans="2:6">
      <c r="B179" s="88">
        <v>266</v>
      </c>
      <c r="D179" s="90" t="s">
        <v>1069</v>
      </c>
      <c r="E179" s="90" t="s">
        <v>1032</v>
      </c>
      <c r="F179" s="90" t="s">
        <v>1032</v>
      </c>
    </row>
    <row r="180" spans="2:6">
      <c r="B180" s="88">
        <v>267</v>
      </c>
      <c r="D180" s="90" t="s">
        <v>142</v>
      </c>
      <c r="E180" s="90" t="s">
        <v>696</v>
      </c>
      <c r="F180" s="90" t="s">
        <v>696</v>
      </c>
    </row>
    <row r="181" spans="2:6">
      <c r="B181" s="88">
        <v>268</v>
      </c>
      <c r="D181" s="90" t="s">
        <v>1278</v>
      </c>
      <c r="E181" s="90" t="s">
        <v>1279</v>
      </c>
      <c r="F181" s="90" t="s">
        <v>1279</v>
      </c>
    </row>
    <row r="182" spans="2:6">
      <c r="B182" s="88">
        <v>269</v>
      </c>
      <c r="D182" s="90" t="s">
        <v>143</v>
      </c>
      <c r="E182" s="90" t="s">
        <v>697</v>
      </c>
      <c r="F182" s="90" t="s">
        <v>697</v>
      </c>
    </row>
    <row r="183" spans="2:6">
      <c r="B183" s="88">
        <v>270</v>
      </c>
      <c r="D183" s="90" t="s">
        <v>451</v>
      </c>
      <c r="E183" s="90" t="s">
        <v>698</v>
      </c>
      <c r="F183" s="90" t="s">
        <v>698</v>
      </c>
    </row>
    <row r="184" spans="2:6" ht="24">
      <c r="B184" s="88">
        <v>271</v>
      </c>
      <c r="D184" s="90" t="s">
        <v>144</v>
      </c>
      <c r="E184" s="90" t="s">
        <v>699</v>
      </c>
      <c r="F184" s="90" t="s">
        <v>699</v>
      </c>
    </row>
    <row r="185" spans="2:6" ht="36">
      <c r="B185" s="88">
        <v>272</v>
      </c>
      <c r="D185" s="90" t="s">
        <v>145</v>
      </c>
      <c r="E185" s="90" t="s">
        <v>700</v>
      </c>
      <c r="F185" s="90" t="s">
        <v>700</v>
      </c>
    </row>
    <row r="186" spans="2:6">
      <c r="B186" s="88">
        <v>273</v>
      </c>
      <c r="D186" s="90" t="s">
        <v>146</v>
      </c>
      <c r="E186" s="90" t="s">
        <v>701</v>
      </c>
      <c r="F186" s="90" t="s">
        <v>701</v>
      </c>
    </row>
    <row r="187" spans="2:6">
      <c r="B187" s="88">
        <v>274</v>
      </c>
      <c r="D187" s="90" t="s">
        <v>147</v>
      </c>
      <c r="E187" s="90" t="s">
        <v>702</v>
      </c>
      <c r="F187" s="90" t="s">
        <v>702</v>
      </c>
    </row>
    <row r="188" spans="2:6">
      <c r="B188" s="88">
        <v>275</v>
      </c>
      <c r="D188" s="90" t="s">
        <v>148</v>
      </c>
      <c r="E188" s="90" t="s">
        <v>703</v>
      </c>
      <c r="F188" s="90" t="s">
        <v>703</v>
      </c>
    </row>
    <row r="189" spans="2:6">
      <c r="B189" s="88">
        <v>276</v>
      </c>
      <c r="D189" s="90" t="s">
        <v>149</v>
      </c>
      <c r="E189" s="90" t="s">
        <v>704</v>
      </c>
      <c r="F189" s="90" t="s">
        <v>704</v>
      </c>
    </row>
    <row r="190" spans="2:6">
      <c r="B190" s="88">
        <v>277</v>
      </c>
      <c r="D190" s="90" t="s">
        <v>150</v>
      </c>
      <c r="E190" s="90" t="s">
        <v>705</v>
      </c>
      <c r="F190" s="90" t="s">
        <v>705</v>
      </c>
    </row>
    <row r="191" spans="2:6">
      <c r="B191" s="88">
        <v>278</v>
      </c>
      <c r="D191" s="90" t="s">
        <v>151</v>
      </c>
      <c r="E191" s="90" t="s">
        <v>706</v>
      </c>
      <c r="F191" s="90" t="s">
        <v>706</v>
      </c>
    </row>
    <row r="192" spans="2:6">
      <c r="B192" s="88">
        <v>279</v>
      </c>
      <c r="D192" s="90" t="s">
        <v>152</v>
      </c>
      <c r="E192" s="90" t="s">
        <v>707</v>
      </c>
      <c r="F192" s="90" t="s">
        <v>707</v>
      </c>
    </row>
    <row r="193" spans="2:6">
      <c r="B193" s="88">
        <v>280</v>
      </c>
      <c r="D193" s="90" t="s">
        <v>153</v>
      </c>
      <c r="E193" s="90" t="s">
        <v>560</v>
      </c>
      <c r="F193" s="90" t="s">
        <v>560</v>
      </c>
    </row>
    <row r="194" spans="2:6">
      <c r="B194" s="88">
        <v>281</v>
      </c>
      <c r="D194" s="90" t="s">
        <v>154</v>
      </c>
      <c r="E194" s="90" t="s">
        <v>708</v>
      </c>
      <c r="F194" s="90" t="s">
        <v>708</v>
      </c>
    </row>
    <row r="195" spans="2:6">
      <c r="B195" s="88">
        <v>282</v>
      </c>
      <c r="D195" s="90" t="s">
        <v>155</v>
      </c>
      <c r="E195" s="90" t="s">
        <v>709</v>
      </c>
      <c r="F195" s="90" t="s">
        <v>709</v>
      </c>
    </row>
    <row r="196" spans="2:6">
      <c r="B196" s="88">
        <v>283</v>
      </c>
      <c r="D196" s="90" t="s">
        <v>156</v>
      </c>
      <c r="E196" s="90" t="s">
        <v>710</v>
      </c>
      <c r="F196" s="90" t="s">
        <v>710</v>
      </c>
    </row>
    <row r="197" spans="2:6" ht="24">
      <c r="B197" s="88">
        <v>284</v>
      </c>
      <c r="D197" s="90" t="s">
        <v>157</v>
      </c>
      <c r="E197" s="90" t="s">
        <v>711</v>
      </c>
      <c r="F197" s="90" t="s">
        <v>711</v>
      </c>
    </row>
    <row r="198" spans="2:6">
      <c r="B198" s="88">
        <v>285</v>
      </c>
      <c r="D198" s="90" t="s">
        <v>452</v>
      </c>
      <c r="E198" s="90" t="s">
        <v>712</v>
      </c>
      <c r="F198" s="90" t="s">
        <v>712</v>
      </c>
    </row>
    <row r="199" spans="2:6">
      <c r="B199" s="88">
        <v>286</v>
      </c>
      <c r="D199" s="90" t="s">
        <v>158</v>
      </c>
      <c r="E199" s="90" t="s">
        <v>713</v>
      </c>
      <c r="F199" s="90" t="s">
        <v>713</v>
      </c>
    </row>
    <row r="200" spans="2:6">
      <c r="B200" s="88">
        <v>287</v>
      </c>
      <c r="D200" s="90" t="s">
        <v>159</v>
      </c>
      <c r="E200" s="90" t="s">
        <v>714</v>
      </c>
      <c r="F200" s="90" t="s">
        <v>714</v>
      </c>
    </row>
    <row r="201" spans="2:6">
      <c r="B201" s="88">
        <v>288</v>
      </c>
      <c r="D201" s="90" t="s">
        <v>160</v>
      </c>
      <c r="E201" s="90" t="s">
        <v>715</v>
      </c>
      <c r="F201" s="90" t="s">
        <v>715</v>
      </c>
    </row>
    <row r="202" spans="2:6">
      <c r="B202" s="88">
        <v>289</v>
      </c>
      <c r="D202" s="90" t="s">
        <v>453</v>
      </c>
      <c r="E202" s="90" t="s">
        <v>716</v>
      </c>
      <c r="F202" s="90" t="s">
        <v>716</v>
      </c>
    </row>
    <row r="203" spans="2:6">
      <c r="B203" s="88">
        <v>290</v>
      </c>
      <c r="D203" s="90" t="s">
        <v>454</v>
      </c>
      <c r="E203" s="90" t="s">
        <v>717</v>
      </c>
      <c r="F203" s="90" t="s">
        <v>717</v>
      </c>
    </row>
    <row r="204" spans="2:6">
      <c r="B204" s="88">
        <v>291</v>
      </c>
      <c r="D204" s="90" t="s">
        <v>1241</v>
      </c>
      <c r="E204" s="90" t="s">
        <v>1249</v>
      </c>
      <c r="F204" s="90" t="s">
        <v>1249</v>
      </c>
    </row>
    <row r="205" spans="2:6">
      <c r="B205" s="88">
        <v>292</v>
      </c>
      <c r="D205" s="90" t="s">
        <v>1419</v>
      </c>
      <c r="E205" s="90" t="s">
        <v>1420</v>
      </c>
      <c r="F205" s="90" t="s">
        <v>1420</v>
      </c>
    </row>
    <row r="206" spans="2:6">
      <c r="B206" s="88">
        <v>293</v>
      </c>
      <c r="D206" s="90" t="s">
        <v>1242</v>
      </c>
      <c r="E206" s="90" t="s">
        <v>1248</v>
      </c>
      <c r="F206" s="90" t="s">
        <v>1248</v>
      </c>
    </row>
    <row r="207" spans="2:6">
      <c r="B207" s="88">
        <v>294</v>
      </c>
      <c r="D207" s="90" t="s">
        <v>1240</v>
      </c>
      <c r="E207" s="90" t="s">
        <v>1247</v>
      </c>
      <c r="F207" s="90" t="s">
        <v>1247</v>
      </c>
    </row>
    <row r="208" spans="2:6">
      <c r="B208" s="88">
        <v>295</v>
      </c>
      <c r="D208" s="90" t="s">
        <v>455</v>
      </c>
      <c r="E208" s="90" t="s">
        <v>718</v>
      </c>
      <c r="F208" s="90" t="s">
        <v>718</v>
      </c>
    </row>
    <row r="209" spans="2:6">
      <c r="B209" s="88">
        <v>296</v>
      </c>
      <c r="D209" s="90" t="s">
        <v>540</v>
      </c>
      <c r="E209" s="90" t="s">
        <v>719</v>
      </c>
      <c r="F209" s="90" t="s">
        <v>719</v>
      </c>
    </row>
    <row r="210" spans="2:6">
      <c r="B210" s="88">
        <v>297</v>
      </c>
      <c r="D210" s="90" t="s">
        <v>161</v>
      </c>
      <c r="E210" s="90" t="s">
        <v>720</v>
      </c>
      <c r="F210" s="90" t="s">
        <v>720</v>
      </c>
    </row>
    <row r="211" spans="2:6">
      <c r="B211" s="88">
        <v>298</v>
      </c>
      <c r="C211" s="89" t="s">
        <v>1145</v>
      </c>
      <c r="D211" s="90" t="s">
        <v>1217</v>
      </c>
      <c r="E211" s="90" t="s">
        <v>1156</v>
      </c>
      <c r="F211" s="90" t="s">
        <v>1156</v>
      </c>
    </row>
    <row r="212" spans="2:6">
      <c r="B212" s="88">
        <v>299</v>
      </c>
      <c r="D212" s="90" t="s">
        <v>1261</v>
      </c>
      <c r="E212" s="90" t="s">
        <v>1264</v>
      </c>
      <c r="F212" s="90" t="s">
        <v>1264</v>
      </c>
    </row>
    <row r="213" spans="2:6">
      <c r="B213" s="88">
        <v>300</v>
      </c>
      <c r="D213" s="90" t="s">
        <v>528</v>
      </c>
      <c r="E213" s="90" t="s">
        <v>954</v>
      </c>
      <c r="F213" s="90" t="s">
        <v>954</v>
      </c>
    </row>
    <row r="214" spans="2:6">
      <c r="B214" s="88">
        <v>301</v>
      </c>
      <c r="D214" s="90" t="s">
        <v>1011</v>
      </c>
      <c r="E214" s="90" t="s">
        <v>1012</v>
      </c>
      <c r="F214" s="90" t="s">
        <v>1012</v>
      </c>
    </row>
    <row r="215" spans="2:6">
      <c r="B215" s="88">
        <v>302</v>
      </c>
      <c r="C215" s="89" t="s">
        <v>1145</v>
      </c>
      <c r="D215" s="216" t="s">
        <v>1547</v>
      </c>
      <c r="E215" s="216" t="s">
        <v>1176</v>
      </c>
      <c r="F215" s="216" t="s">
        <v>1176</v>
      </c>
    </row>
    <row r="216" spans="2:6">
      <c r="B216" s="88">
        <v>303</v>
      </c>
      <c r="C216" s="89" t="s">
        <v>1145</v>
      </c>
      <c r="D216" s="216" t="s">
        <v>1184</v>
      </c>
      <c r="E216" s="216" t="s">
        <v>1146</v>
      </c>
      <c r="F216" s="216" t="s">
        <v>1146</v>
      </c>
    </row>
    <row r="217" spans="2:6">
      <c r="B217" s="88">
        <v>304</v>
      </c>
      <c r="C217" s="89" t="s">
        <v>1145</v>
      </c>
      <c r="D217" s="216" t="s">
        <v>1550</v>
      </c>
      <c r="E217" s="216" t="s">
        <v>1155</v>
      </c>
      <c r="F217" s="216" t="s">
        <v>1155</v>
      </c>
    </row>
    <row r="218" spans="2:6">
      <c r="B218" s="88">
        <v>305</v>
      </c>
      <c r="C218" s="89" t="s">
        <v>1145</v>
      </c>
      <c r="D218" s="216" t="s">
        <v>1227</v>
      </c>
      <c r="E218" s="216" t="s">
        <v>1228</v>
      </c>
      <c r="F218" s="216" t="s">
        <v>1228</v>
      </c>
    </row>
    <row r="219" spans="2:6">
      <c r="B219" s="88">
        <v>305</v>
      </c>
      <c r="C219" s="89" t="s">
        <v>1145</v>
      </c>
      <c r="D219" s="216" t="s">
        <v>1548</v>
      </c>
      <c r="E219" s="216" t="s">
        <v>1549</v>
      </c>
      <c r="F219" s="216" t="s">
        <v>1549</v>
      </c>
    </row>
    <row r="220" spans="2:6">
      <c r="B220" s="88">
        <v>306</v>
      </c>
      <c r="C220" s="89" t="s">
        <v>1145</v>
      </c>
      <c r="D220" s="216" t="s">
        <v>1537</v>
      </c>
      <c r="E220" s="216" t="s">
        <v>1538</v>
      </c>
      <c r="F220" s="216" t="s">
        <v>1538</v>
      </c>
    </row>
    <row r="221" spans="2:6">
      <c r="B221" s="88">
        <v>307</v>
      </c>
      <c r="C221" s="89" t="s">
        <v>1145</v>
      </c>
      <c r="D221" s="216" t="s">
        <v>1539</v>
      </c>
      <c r="E221" s="216" t="s">
        <v>1540</v>
      </c>
      <c r="F221" s="216" t="s">
        <v>1540</v>
      </c>
    </row>
    <row r="222" spans="2:6">
      <c r="B222" s="88">
        <v>308</v>
      </c>
      <c r="C222" s="89" t="s">
        <v>1145</v>
      </c>
      <c r="D222" s="216" t="s">
        <v>1541</v>
      </c>
      <c r="E222" s="216" t="s">
        <v>1542</v>
      </c>
      <c r="F222" s="216" t="s">
        <v>1542</v>
      </c>
    </row>
    <row r="223" spans="2:6">
      <c r="B223" s="88">
        <v>309</v>
      </c>
      <c r="C223" s="89" t="s">
        <v>1145</v>
      </c>
      <c r="D223" s="216" t="s">
        <v>1543</v>
      </c>
      <c r="E223" s="216" t="s">
        <v>1544</v>
      </c>
      <c r="F223" s="216" t="s">
        <v>1544</v>
      </c>
    </row>
    <row r="224" spans="2:6">
      <c r="B224" s="88">
        <v>310</v>
      </c>
      <c r="C224" s="89" t="s">
        <v>1145</v>
      </c>
      <c r="D224" s="216" t="s">
        <v>1545</v>
      </c>
      <c r="E224" s="216" t="s">
        <v>1551</v>
      </c>
      <c r="F224" s="216" t="s">
        <v>1551</v>
      </c>
    </row>
    <row r="225" spans="2:6">
      <c r="B225" s="88">
        <v>311</v>
      </c>
      <c r="C225" s="89" t="s">
        <v>1145</v>
      </c>
      <c r="D225" s="216" t="s">
        <v>1546</v>
      </c>
      <c r="E225" s="216" t="s">
        <v>1552</v>
      </c>
      <c r="F225" s="216" t="s">
        <v>1552</v>
      </c>
    </row>
    <row r="226" spans="2:6">
      <c r="B226" s="88">
        <v>312</v>
      </c>
      <c r="C226" s="89" t="s">
        <v>1145</v>
      </c>
      <c r="D226" s="216" t="s">
        <v>1219</v>
      </c>
      <c r="E226" s="216" t="s">
        <v>1553</v>
      </c>
      <c r="F226" s="216" t="s">
        <v>1553</v>
      </c>
    </row>
    <row r="227" spans="2:6">
      <c r="B227" s="88">
        <v>313</v>
      </c>
      <c r="C227" s="89" t="s">
        <v>1145</v>
      </c>
      <c r="D227" s="216" t="s">
        <v>1220</v>
      </c>
      <c r="E227" s="216" t="s">
        <v>1554</v>
      </c>
      <c r="F227" s="216" t="s">
        <v>1554</v>
      </c>
    </row>
    <row r="228" spans="2:6">
      <c r="B228" s="88">
        <v>314</v>
      </c>
      <c r="C228" s="89" t="s">
        <v>1145</v>
      </c>
      <c r="D228" s="216" t="s">
        <v>1221</v>
      </c>
      <c r="E228" s="90" t="s">
        <v>1177</v>
      </c>
      <c r="F228" s="90" t="s">
        <v>1177</v>
      </c>
    </row>
    <row r="229" spans="2:6">
      <c r="B229" s="88">
        <v>315</v>
      </c>
      <c r="C229" s="89" t="s">
        <v>1145</v>
      </c>
      <c r="D229" s="216" t="s">
        <v>1222</v>
      </c>
      <c r="E229" s="90" t="s">
        <v>1178</v>
      </c>
      <c r="F229" s="90" t="s">
        <v>1178</v>
      </c>
    </row>
    <row r="230" spans="2:6">
      <c r="B230" s="88">
        <v>316</v>
      </c>
      <c r="C230" s="89" t="s">
        <v>1145</v>
      </c>
      <c r="D230" s="216" t="s">
        <v>1223</v>
      </c>
      <c r="E230" s="90" t="s">
        <v>1179</v>
      </c>
      <c r="F230" s="90" t="s">
        <v>1179</v>
      </c>
    </row>
    <row r="231" spans="2:6">
      <c r="B231" s="88">
        <v>317</v>
      </c>
      <c r="C231" s="89" t="s">
        <v>1145</v>
      </c>
      <c r="D231" s="216" t="s">
        <v>1224</v>
      </c>
      <c r="E231" s="90" t="s">
        <v>1180</v>
      </c>
      <c r="F231" s="90" t="s">
        <v>1180</v>
      </c>
    </row>
    <row r="232" spans="2:6">
      <c r="B232" s="88">
        <v>318</v>
      </c>
      <c r="C232" s="89" t="s">
        <v>1145</v>
      </c>
      <c r="D232" s="216" t="s">
        <v>1225</v>
      </c>
      <c r="E232" s="216" t="s">
        <v>1226</v>
      </c>
      <c r="F232" s="216" t="s">
        <v>1226</v>
      </c>
    </row>
    <row r="233" spans="2:6" ht="24">
      <c r="B233" s="88">
        <v>319</v>
      </c>
      <c r="D233" s="90" t="s">
        <v>162</v>
      </c>
      <c r="E233" s="90" t="s">
        <v>721</v>
      </c>
      <c r="F233" s="90" t="s">
        <v>721</v>
      </c>
    </row>
    <row r="234" spans="2:6" ht="24">
      <c r="B234" s="88">
        <v>320</v>
      </c>
      <c r="D234" s="90" t="s">
        <v>163</v>
      </c>
      <c r="E234" s="90" t="s">
        <v>722</v>
      </c>
      <c r="F234" s="90" t="s">
        <v>722</v>
      </c>
    </row>
    <row r="235" spans="2:6" ht="24">
      <c r="B235" s="88">
        <v>321</v>
      </c>
      <c r="D235" s="90" t="s">
        <v>164</v>
      </c>
      <c r="E235" s="90" t="s">
        <v>723</v>
      </c>
      <c r="F235" s="90" t="s">
        <v>723</v>
      </c>
    </row>
    <row r="236" spans="2:6" ht="24">
      <c r="B236" s="88">
        <v>322</v>
      </c>
      <c r="C236" s="89" t="s">
        <v>1145</v>
      </c>
      <c r="D236" s="90" t="s">
        <v>1218</v>
      </c>
      <c r="E236" s="90" t="s">
        <v>1165</v>
      </c>
      <c r="F236" s="90" t="s">
        <v>1165</v>
      </c>
    </row>
    <row r="237" spans="2:6">
      <c r="B237" s="88">
        <v>323</v>
      </c>
      <c r="D237" s="90" t="s">
        <v>165</v>
      </c>
      <c r="E237" s="90" t="s">
        <v>724</v>
      </c>
      <c r="F237" s="90" t="s">
        <v>724</v>
      </c>
    </row>
    <row r="238" spans="2:6">
      <c r="B238" s="88">
        <v>324</v>
      </c>
      <c r="C238" s="89" t="s">
        <v>585</v>
      </c>
      <c r="D238" s="90" t="s">
        <v>982</v>
      </c>
      <c r="E238" s="90" t="s">
        <v>983</v>
      </c>
      <c r="F238" s="90" t="s">
        <v>983</v>
      </c>
    </row>
    <row r="239" spans="2:6">
      <c r="B239" s="88">
        <v>325</v>
      </c>
      <c r="D239" s="90" t="s">
        <v>166</v>
      </c>
      <c r="E239" s="90" t="s">
        <v>725</v>
      </c>
      <c r="F239" s="90" t="s">
        <v>725</v>
      </c>
    </row>
    <row r="240" spans="2:6">
      <c r="B240" s="88">
        <v>326</v>
      </c>
      <c r="D240" s="90" t="s">
        <v>167</v>
      </c>
      <c r="E240" s="90" t="s">
        <v>726</v>
      </c>
      <c r="F240" s="90" t="s">
        <v>726</v>
      </c>
    </row>
    <row r="241" spans="2:6">
      <c r="B241" s="88">
        <v>327</v>
      </c>
      <c r="D241" s="90" t="s">
        <v>168</v>
      </c>
      <c r="E241" s="90" t="s">
        <v>727</v>
      </c>
      <c r="F241" s="90" t="s">
        <v>727</v>
      </c>
    </row>
    <row r="242" spans="2:6">
      <c r="B242" s="88">
        <v>328</v>
      </c>
      <c r="C242" s="89" t="s">
        <v>585</v>
      </c>
      <c r="D242" s="87" t="s">
        <v>960</v>
      </c>
      <c r="E242" s="216" t="s">
        <v>961</v>
      </c>
      <c r="F242" s="216" t="s">
        <v>961</v>
      </c>
    </row>
    <row r="243" spans="2:6">
      <c r="B243" s="88">
        <v>329</v>
      </c>
      <c r="C243" s="89" t="s">
        <v>585</v>
      </c>
      <c r="D243" s="87" t="s">
        <v>962</v>
      </c>
      <c r="E243" s="216" t="s">
        <v>963</v>
      </c>
      <c r="F243" s="216" t="s">
        <v>963</v>
      </c>
    </row>
    <row r="244" spans="2:6">
      <c r="B244" s="88">
        <v>330</v>
      </c>
      <c r="D244" s="90" t="s">
        <v>169</v>
      </c>
      <c r="E244" s="90" t="s">
        <v>728</v>
      </c>
      <c r="F244" s="90" t="s">
        <v>728</v>
      </c>
    </row>
    <row r="245" spans="2:6">
      <c r="B245" s="88">
        <v>331</v>
      </c>
      <c r="C245" s="89" t="s">
        <v>585</v>
      </c>
      <c r="D245" s="90" t="s">
        <v>978</v>
      </c>
      <c r="E245" s="90" t="s">
        <v>1017</v>
      </c>
      <c r="F245" s="90" t="s">
        <v>1017</v>
      </c>
    </row>
    <row r="246" spans="2:6">
      <c r="B246" s="88">
        <v>332</v>
      </c>
      <c r="C246" s="89" t="s">
        <v>585</v>
      </c>
      <c r="D246" s="87" t="s">
        <v>984</v>
      </c>
      <c r="E246" s="216" t="s">
        <v>985</v>
      </c>
      <c r="F246" s="216" t="s">
        <v>985</v>
      </c>
    </row>
    <row r="247" spans="2:6" ht="24">
      <c r="B247" s="88">
        <v>333</v>
      </c>
      <c r="D247" s="90" t="s">
        <v>170</v>
      </c>
      <c r="E247" s="90" t="s">
        <v>729</v>
      </c>
      <c r="F247" s="90" t="s">
        <v>729</v>
      </c>
    </row>
    <row r="248" spans="2:6" ht="24">
      <c r="B248" s="88">
        <v>334</v>
      </c>
      <c r="D248" s="90" t="s">
        <v>171</v>
      </c>
      <c r="E248" s="90" t="s">
        <v>730</v>
      </c>
      <c r="F248" s="90" t="s">
        <v>730</v>
      </c>
    </row>
    <row r="249" spans="2:6">
      <c r="B249" s="88">
        <v>335</v>
      </c>
      <c r="D249" s="90" t="s">
        <v>172</v>
      </c>
      <c r="E249" s="90" t="s">
        <v>731</v>
      </c>
      <c r="F249" s="90" t="s">
        <v>731</v>
      </c>
    </row>
    <row r="250" spans="2:6">
      <c r="B250" s="88">
        <v>336</v>
      </c>
      <c r="D250" s="90" t="s">
        <v>173</v>
      </c>
      <c r="E250" s="90" t="s">
        <v>732</v>
      </c>
      <c r="F250" s="90" t="s">
        <v>732</v>
      </c>
    </row>
    <row r="251" spans="2:6">
      <c r="B251" s="88">
        <v>337</v>
      </c>
      <c r="D251" s="90" t="s">
        <v>174</v>
      </c>
      <c r="E251" s="90" t="s">
        <v>733</v>
      </c>
      <c r="F251" s="90" t="s">
        <v>733</v>
      </c>
    </row>
    <row r="252" spans="2:6">
      <c r="B252" s="88">
        <v>338</v>
      </c>
      <c r="D252" s="90" t="s">
        <v>175</v>
      </c>
      <c r="E252" s="90" t="s">
        <v>734</v>
      </c>
      <c r="F252" s="90" t="s">
        <v>734</v>
      </c>
    </row>
    <row r="253" spans="2:6">
      <c r="B253" s="88">
        <v>339</v>
      </c>
      <c r="C253" s="89" t="s">
        <v>1145</v>
      </c>
      <c r="D253" s="90" t="s">
        <v>1199</v>
      </c>
      <c r="E253" s="90" t="s">
        <v>1163</v>
      </c>
      <c r="F253" s="90" t="s">
        <v>1163</v>
      </c>
    </row>
    <row r="254" spans="2:6">
      <c r="B254" s="88">
        <v>340</v>
      </c>
      <c r="C254" s="89" t="s">
        <v>1145</v>
      </c>
      <c r="D254" s="90" t="s">
        <v>1201</v>
      </c>
      <c r="E254" s="90" t="s">
        <v>1164</v>
      </c>
      <c r="F254" s="90" t="s">
        <v>1164</v>
      </c>
    </row>
    <row r="255" spans="2:6">
      <c r="B255" s="88">
        <v>341</v>
      </c>
      <c r="D255" s="90" t="s">
        <v>176</v>
      </c>
      <c r="E255" s="90" t="s">
        <v>735</v>
      </c>
      <c r="F255" s="90" t="s">
        <v>735</v>
      </c>
    </row>
    <row r="256" spans="2:6" ht="24">
      <c r="B256" s="88">
        <v>342</v>
      </c>
      <c r="C256" s="89" t="s">
        <v>1145</v>
      </c>
      <c r="D256" s="90" t="s">
        <v>1211</v>
      </c>
      <c r="E256" s="90" t="s">
        <v>1172</v>
      </c>
      <c r="F256" s="90" t="s">
        <v>1172</v>
      </c>
    </row>
    <row r="257" spans="2:6">
      <c r="B257" s="88">
        <v>343</v>
      </c>
      <c r="D257" s="90" t="s">
        <v>456</v>
      </c>
      <c r="E257" s="90" t="s">
        <v>736</v>
      </c>
      <c r="F257" s="90" t="s">
        <v>736</v>
      </c>
    </row>
    <row r="258" spans="2:6">
      <c r="B258" s="88">
        <v>344</v>
      </c>
      <c r="D258" s="90" t="s">
        <v>177</v>
      </c>
      <c r="E258" s="90" t="s">
        <v>737</v>
      </c>
      <c r="F258" s="90" t="s">
        <v>737</v>
      </c>
    </row>
    <row r="259" spans="2:6">
      <c r="B259" s="88">
        <v>345</v>
      </c>
      <c r="D259" s="90" t="s">
        <v>457</v>
      </c>
      <c r="E259" s="90" t="s">
        <v>738</v>
      </c>
      <c r="F259" s="90" t="s">
        <v>738</v>
      </c>
    </row>
    <row r="260" spans="2:6">
      <c r="B260" s="88">
        <v>346</v>
      </c>
      <c r="C260" s="89" t="s">
        <v>1145</v>
      </c>
      <c r="D260" s="90" t="s">
        <v>1200</v>
      </c>
      <c r="E260" s="90" t="s">
        <v>1174</v>
      </c>
      <c r="F260" s="90" t="s">
        <v>1174</v>
      </c>
    </row>
    <row r="261" spans="2:6">
      <c r="B261" s="88">
        <v>347</v>
      </c>
      <c r="C261" s="89" t="s">
        <v>585</v>
      </c>
      <c r="D261" s="87" t="s">
        <v>958</v>
      </c>
      <c r="E261" s="216" t="s">
        <v>959</v>
      </c>
      <c r="F261" s="216" t="s">
        <v>959</v>
      </c>
    </row>
    <row r="262" spans="2:6" ht="24">
      <c r="B262" s="88">
        <v>348</v>
      </c>
      <c r="C262" s="89" t="s">
        <v>1145</v>
      </c>
      <c r="D262" s="90" t="s">
        <v>1192</v>
      </c>
      <c r="E262" s="90" t="s">
        <v>1153</v>
      </c>
      <c r="F262" s="90" t="s">
        <v>1153</v>
      </c>
    </row>
    <row r="263" spans="2:6" ht="24">
      <c r="B263" s="88">
        <v>349</v>
      </c>
      <c r="D263" s="90" t="s">
        <v>178</v>
      </c>
      <c r="F263" s="90"/>
    </row>
    <row r="264" spans="2:6">
      <c r="B264" s="88">
        <v>350</v>
      </c>
      <c r="D264" s="90" t="s">
        <v>179</v>
      </c>
      <c r="E264" s="90" t="s">
        <v>739</v>
      </c>
      <c r="F264" s="90" t="s">
        <v>739</v>
      </c>
    </row>
    <row r="265" spans="2:6">
      <c r="B265" s="88">
        <v>351</v>
      </c>
      <c r="D265" s="90" t="s">
        <v>180</v>
      </c>
      <c r="E265" s="90" t="s">
        <v>740</v>
      </c>
      <c r="F265" s="90" t="s">
        <v>740</v>
      </c>
    </row>
    <row r="266" spans="2:6">
      <c r="B266" s="88">
        <v>352</v>
      </c>
      <c r="D266" s="90" t="s">
        <v>181</v>
      </c>
      <c r="E266" s="90" t="s">
        <v>741</v>
      </c>
      <c r="F266" s="90" t="s">
        <v>741</v>
      </c>
    </row>
    <row r="267" spans="2:6">
      <c r="B267" s="88">
        <v>353</v>
      </c>
      <c r="C267" s="89" t="s">
        <v>1145</v>
      </c>
      <c r="D267" s="90" t="s">
        <v>1195</v>
      </c>
      <c r="E267" s="90" t="s">
        <v>1159</v>
      </c>
      <c r="F267" s="90" t="s">
        <v>1159</v>
      </c>
    </row>
    <row r="268" spans="2:6">
      <c r="B268" s="88">
        <v>354</v>
      </c>
      <c r="D268" s="90" t="s">
        <v>182</v>
      </c>
      <c r="E268" s="90" t="s">
        <v>742</v>
      </c>
      <c r="F268" s="90" t="s">
        <v>742</v>
      </c>
    </row>
    <row r="269" spans="2:6">
      <c r="B269" s="88">
        <v>355</v>
      </c>
      <c r="D269" s="90" t="s">
        <v>458</v>
      </c>
      <c r="E269" s="90" t="s">
        <v>743</v>
      </c>
      <c r="F269" s="90" t="s">
        <v>743</v>
      </c>
    </row>
    <row r="270" spans="2:6">
      <c r="B270" s="88">
        <v>356</v>
      </c>
      <c r="D270" s="90" t="s">
        <v>183</v>
      </c>
      <c r="E270" s="90" t="s">
        <v>744</v>
      </c>
      <c r="F270" s="90" t="s">
        <v>744</v>
      </c>
    </row>
    <row r="271" spans="2:6" ht="24">
      <c r="B271" s="88">
        <v>357</v>
      </c>
      <c r="C271" s="89" t="s">
        <v>1145</v>
      </c>
      <c r="D271" s="90" t="s">
        <v>1191</v>
      </c>
      <c r="E271" s="90" t="s">
        <v>1190</v>
      </c>
      <c r="F271" s="90" t="s">
        <v>1190</v>
      </c>
    </row>
    <row r="272" spans="2:6" ht="36">
      <c r="B272" s="88">
        <v>358</v>
      </c>
      <c r="C272" s="89" t="s">
        <v>1145</v>
      </c>
      <c r="D272" s="90" t="s">
        <v>1208</v>
      </c>
      <c r="E272" s="90" t="s">
        <v>1168</v>
      </c>
      <c r="F272" s="90" t="s">
        <v>1168</v>
      </c>
    </row>
    <row r="273" spans="2:6">
      <c r="B273" s="88">
        <v>359</v>
      </c>
      <c r="D273" s="90" t="s">
        <v>184</v>
      </c>
      <c r="E273" s="90" t="s">
        <v>745</v>
      </c>
      <c r="F273" s="90" t="s">
        <v>745</v>
      </c>
    </row>
    <row r="274" spans="2:6">
      <c r="B274" s="88">
        <v>360</v>
      </c>
      <c r="D274" s="90" t="s">
        <v>1</v>
      </c>
      <c r="E274" s="90" t="s">
        <v>1</v>
      </c>
      <c r="F274" s="90" t="s">
        <v>1</v>
      </c>
    </row>
    <row r="275" spans="2:6">
      <c r="B275" s="88">
        <v>361</v>
      </c>
      <c r="D275" s="90" t="s">
        <v>2</v>
      </c>
      <c r="E275" s="90" t="s">
        <v>2</v>
      </c>
      <c r="F275" s="90" t="s">
        <v>2</v>
      </c>
    </row>
    <row r="276" spans="2:6">
      <c r="B276" s="88">
        <v>362</v>
      </c>
      <c r="D276" s="90" t="s">
        <v>545</v>
      </c>
      <c r="E276" s="90" t="s">
        <v>549</v>
      </c>
      <c r="F276" s="90" t="s">
        <v>549</v>
      </c>
    </row>
    <row r="277" spans="2:6">
      <c r="B277" s="88">
        <v>363</v>
      </c>
      <c r="D277" s="90" t="s">
        <v>185</v>
      </c>
      <c r="E277" s="90" t="s">
        <v>186</v>
      </c>
      <c r="F277" s="90" t="s">
        <v>186</v>
      </c>
    </row>
    <row r="278" spans="2:6">
      <c r="B278" s="88">
        <v>364</v>
      </c>
      <c r="D278" s="90" t="s">
        <v>1280</v>
      </c>
      <c r="E278" s="90" t="s">
        <v>1281</v>
      </c>
      <c r="F278" s="90" t="s">
        <v>1281</v>
      </c>
    </row>
    <row r="279" spans="2:6">
      <c r="B279" s="88">
        <v>365</v>
      </c>
      <c r="D279" s="90" t="s">
        <v>187</v>
      </c>
      <c r="E279" s="90" t="s">
        <v>516</v>
      </c>
      <c r="F279" s="90" t="s">
        <v>516</v>
      </c>
    </row>
    <row r="280" spans="2:6">
      <c r="B280" s="88">
        <v>366</v>
      </c>
      <c r="D280" s="90" t="s">
        <v>188</v>
      </c>
      <c r="E280" s="90" t="s">
        <v>746</v>
      </c>
      <c r="F280" s="90" t="s">
        <v>746</v>
      </c>
    </row>
    <row r="281" spans="2:6">
      <c r="B281" s="88">
        <v>367</v>
      </c>
      <c r="D281" s="90" t="s">
        <v>189</v>
      </c>
      <c r="E281" s="90" t="s">
        <v>747</v>
      </c>
      <c r="F281" s="90" t="s">
        <v>747</v>
      </c>
    </row>
    <row r="282" spans="2:6">
      <c r="B282" s="88">
        <v>368</v>
      </c>
      <c r="D282" s="90" t="s">
        <v>459</v>
      </c>
      <c r="E282" s="90" t="s">
        <v>748</v>
      </c>
      <c r="F282" s="90" t="s">
        <v>748</v>
      </c>
    </row>
    <row r="283" spans="2:6">
      <c r="B283" s="88">
        <v>369</v>
      </c>
      <c r="D283" s="90" t="s">
        <v>460</v>
      </c>
      <c r="E283" s="90" t="s">
        <v>749</v>
      </c>
      <c r="F283" s="90" t="s">
        <v>749</v>
      </c>
    </row>
    <row r="284" spans="2:6">
      <c r="B284" s="88">
        <v>370</v>
      </c>
      <c r="D284" s="90" t="s">
        <v>461</v>
      </c>
      <c r="E284" s="90" t="s">
        <v>748</v>
      </c>
      <c r="F284" s="90" t="s">
        <v>748</v>
      </c>
    </row>
    <row r="285" spans="2:6">
      <c r="B285" s="88">
        <v>371</v>
      </c>
      <c r="C285" s="89" t="s">
        <v>1145</v>
      </c>
      <c r="D285" s="90" t="s">
        <v>1182</v>
      </c>
      <c r="E285" s="90" t="s">
        <v>1162</v>
      </c>
      <c r="F285" s="90" t="s">
        <v>1162</v>
      </c>
    </row>
    <row r="286" spans="2:6">
      <c r="B286" s="88">
        <v>372</v>
      </c>
      <c r="D286" s="90" t="s">
        <v>190</v>
      </c>
      <c r="E286" s="90" t="s">
        <v>750</v>
      </c>
      <c r="F286" s="90" t="s">
        <v>750</v>
      </c>
    </row>
    <row r="287" spans="2:6">
      <c r="B287" s="88">
        <v>373</v>
      </c>
      <c r="D287" s="90" t="s">
        <v>462</v>
      </c>
      <c r="E287" s="90" t="s">
        <v>751</v>
      </c>
      <c r="F287" s="90" t="s">
        <v>751</v>
      </c>
    </row>
    <row r="288" spans="2:6">
      <c r="B288" s="88">
        <v>374</v>
      </c>
      <c r="D288" s="90" t="s">
        <v>191</v>
      </c>
      <c r="E288" s="90" t="s">
        <v>752</v>
      </c>
      <c r="F288" s="90" t="s">
        <v>752</v>
      </c>
    </row>
    <row r="289" spans="2:6">
      <c r="B289" s="88">
        <v>375</v>
      </c>
      <c r="C289" s="89" t="s">
        <v>585</v>
      </c>
      <c r="D289" s="87" t="s">
        <v>986</v>
      </c>
      <c r="E289" s="216" t="s">
        <v>987</v>
      </c>
      <c r="F289" s="216" t="s">
        <v>987</v>
      </c>
    </row>
    <row r="290" spans="2:6">
      <c r="B290" s="88">
        <v>376</v>
      </c>
      <c r="D290" s="90" t="s">
        <v>491</v>
      </c>
      <c r="E290" s="90" t="s">
        <v>753</v>
      </c>
      <c r="F290" s="90" t="s">
        <v>753</v>
      </c>
    </row>
    <row r="291" spans="2:6">
      <c r="B291" s="88">
        <v>377</v>
      </c>
      <c r="D291" s="90" t="s">
        <v>492</v>
      </c>
      <c r="E291" s="90" t="s">
        <v>754</v>
      </c>
      <c r="F291" s="90" t="s">
        <v>754</v>
      </c>
    </row>
    <row r="292" spans="2:6">
      <c r="B292" s="88">
        <v>378</v>
      </c>
      <c r="C292" s="89" t="s">
        <v>998</v>
      </c>
      <c r="D292" s="90" t="s">
        <v>999</v>
      </c>
      <c r="E292" s="90" t="s">
        <v>1000</v>
      </c>
      <c r="F292" s="90" t="s">
        <v>1000</v>
      </c>
    </row>
    <row r="293" spans="2:6">
      <c r="B293" s="88">
        <v>379</v>
      </c>
      <c r="D293" s="90" t="s">
        <v>192</v>
      </c>
      <c r="E293" s="90" t="s">
        <v>755</v>
      </c>
      <c r="F293" s="90" t="s">
        <v>755</v>
      </c>
    </row>
    <row r="294" spans="2:6">
      <c r="B294" s="88">
        <v>380</v>
      </c>
      <c r="D294" s="90" t="s">
        <v>463</v>
      </c>
      <c r="E294" s="90" t="s">
        <v>756</v>
      </c>
      <c r="F294" s="90" t="s">
        <v>756</v>
      </c>
    </row>
    <row r="295" spans="2:6">
      <c r="B295" s="88">
        <v>381</v>
      </c>
      <c r="D295" s="90" t="s">
        <v>193</v>
      </c>
      <c r="E295" s="90" t="s">
        <v>757</v>
      </c>
      <c r="F295" s="90" t="s">
        <v>757</v>
      </c>
    </row>
    <row r="296" spans="2:6">
      <c r="B296" s="88">
        <v>382</v>
      </c>
      <c r="D296" s="90" t="s">
        <v>194</v>
      </c>
      <c r="E296" s="90" t="s">
        <v>758</v>
      </c>
      <c r="F296" s="90" t="s">
        <v>758</v>
      </c>
    </row>
    <row r="297" spans="2:6">
      <c r="B297" s="88">
        <v>383</v>
      </c>
      <c r="D297" s="90" t="s">
        <v>195</v>
      </c>
      <c r="E297" s="90" t="s">
        <v>531</v>
      </c>
      <c r="F297" s="90" t="s">
        <v>531</v>
      </c>
    </row>
    <row r="298" spans="2:6">
      <c r="B298" s="88">
        <v>384</v>
      </c>
      <c r="D298" s="90" t="s">
        <v>972</v>
      </c>
      <c r="E298" s="90" t="s">
        <v>973</v>
      </c>
      <c r="F298" s="90" t="s">
        <v>973</v>
      </c>
    </row>
    <row r="299" spans="2:6" ht="24">
      <c r="B299" s="88">
        <v>385</v>
      </c>
      <c r="D299" s="90" t="s">
        <v>196</v>
      </c>
      <c r="E299" s="90" t="s">
        <v>759</v>
      </c>
      <c r="F299" s="90" t="s">
        <v>759</v>
      </c>
    </row>
    <row r="300" spans="2:6">
      <c r="B300" s="88">
        <v>386</v>
      </c>
      <c r="D300" s="90" t="s">
        <v>1414</v>
      </c>
      <c r="E300" s="90" t="s">
        <v>1498</v>
      </c>
      <c r="F300" s="90" t="s">
        <v>1498</v>
      </c>
    </row>
    <row r="301" spans="2:6" ht="24">
      <c r="B301" s="88">
        <v>387</v>
      </c>
      <c r="D301" s="90" t="s">
        <v>493</v>
      </c>
      <c r="E301" s="90" t="s">
        <v>760</v>
      </c>
      <c r="F301" s="90" t="s">
        <v>760</v>
      </c>
    </row>
    <row r="302" spans="2:6">
      <c r="B302" s="88">
        <v>388</v>
      </c>
      <c r="D302" s="90" t="s">
        <v>494</v>
      </c>
      <c r="E302" s="90" t="s">
        <v>761</v>
      </c>
      <c r="F302" s="90" t="s">
        <v>761</v>
      </c>
    </row>
    <row r="303" spans="2:6">
      <c r="B303" s="88">
        <v>389</v>
      </c>
      <c r="D303" s="90" t="s">
        <v>464</v>
      </c>
      <c r="E303" s="90" t="s">
        <v>762</v>
      </c>
      <c r="F303" s="90" t="s">
        <v>762</v>
      </c>
    </row>
    <row r="304" spans="2:6">
      <c r="B304" s="88">
        <v>390</v>
      </c>
      <c r="D304" s="90" t="s">
        <v>197</v>
      </c>
      <c r="E304" s="90" t="s">
        <v>763</v>
      </c>
      <c r="F304" s="90" t="s">
        <v>763</v>
      </c>
    </row>
    <row r="305" spans="2:6">
      <c r="B305" s="88">
        <v>391</v>
      </c>
      <c r="D305" s="90" t="s">
        <v>465</v>
      </c>
      <c r="E305" s="90" t="s">
        <v>764</v>
      </c>
      <c r="F305" s="90" t="s">
        <v>764</v>
      </c>
    </row>
    <row r="306" spans="2:6">
      <c r="B306" s="88">
        <v>392</v>
      </c>
      <c r="D306" s="90" t="s">
        <v>466</v>
      </c>
      <c r="E306" s="90" t="s">
        <v>765</v>
      </c>
      <c r="F306" s="90" t="s">
        <v>765</v>
      </c>
    </row>
    <row r="307" spans="2:6">
      <c r="B307" s="88">
        <v>393</v>
      </c>
      <c r="D307" s="90" t="s">
        <v>198</v>
      </c>
      <c r="E307" s="90" t="s">
        <v>766</v>
      </c>
      <c r="F307" s="90" t="s">
        <v>766</v>
      </c>
    </row>
    <row r="308" spans="2:6">
      <c r="B308" s="88">
        <v>394</v>
      </c>
      <c r="D308" s="90" t="s">
        <v>199</v>
      </c>
      <c r="E308" s="90" t="s">
        <v>767</v>
      </c>
      <c r="F308" s="90" t="s">
        <v>767</v>
      </c>
    </row>
    <row r="309" spans="2:6">
      <c r="B309" s="88">
        <v>395</v>
      </c>
      <c r="D309" s="90" t="s">
        <v>467</v>
      </c>
      <c r="E309" s="90" t="s">
        <v>768</v>
      </c>
      <c r="F309" s="90" t="s">
        <v>768</v>
      </c>
    </row>
    <row r="310" spans="2:6">
      <c r="B310" s="88">
        <v>396</v>
      </c>
      <c r="D310" s="90" t="s">
        <v>200</v>
      </c>
      <c r="E310" s="90" t="s">
        <v>769</v>
      </c>
      <c r="F310" s="90" t="s">
        <v>769</v>
      </c>
    </row>
    <row r="311" spans="2:6">
      <c r="B311" s="88">
        <v>397</v>
      </c>
      <c r="C311" s="89" t="s">
        <v>508</v>
      </c>
      <c r="D311" s="90" t="s">
        <v>517</v>
      </c>
      <c r="E311" s="90" t="s">
        <v>518</v>
      </c>
      <c r="F311" s="90" t="s">
        <v>518</v>
      </c>
    </row>
    <row r="312" spans="2:6">
      <c r="B312" s="88">
        <v>398</v>
      </c>
      <c r="C312" s="89" t="s">
        <v>585</v>
      </c>
      <c r="D312" s="87" t="s">
        <v>584</v>
      </c>
      <c r="E312" s="216" t="s">
        <v>957</v>
      </c>
      <c r="F312" s="216" t="s">
        <v>957</v>
      </c>
    </row>
    <row r="313" spans="2:6">
      <c r="B313" s="88">
        <v>399</v>
      </c>
      <c r="D313" s="90" t="s">
        <v>201</v>
      </c>
      <c r="E313" s="90" t="s">
        <v>770</v>
      </c>
      <c r="F313" s="90" t="s">
        <v>770</v>
      </c>
    </row>
    <row r="314" spans="2:6">
      <c r="B314" s="88">
        <v>400</v>
      </c>
      <c r="D314" s="90" t="s">
        <v>202</v>
      </c>
      <c r="E314" s="90" t="s">
        <v>771</v>
      </c>
      <c r="F314" s="90" t="s">
        <v>771</v>
      </c>
    </row>
    <row r="315" spans="2:6">
      <c r="B315" s="88">
        <v>401</v>
      </c>
      <c r="D315" s="90" t="s">
        <v>203</v>
      </c>
      <c r="E315" s="90" t="s">
        <v>772</v>
      </c>
      <c r="F315" s="90" t="s">
        <v>772</v>
      </c>
    </row>
    <row r="316" spans="2:6">
      <c r="B316" s="88">
        <v>402</v>
      </c>
      <c r="D316" s="90" t="s">
        <v>204</v>
      </c>
      <c r="E316" s="90" t="s">
        <v>773</v>
      </c>
      <c r="F316" s="90" t="s">
        <v>773</v>
      </c>
    </row>
    <row r="317" spans="2:6">
      <c r="B317" s="88">
        <v>403</v>
      </c>
      <c r="C317" s="89" t="s">
        <v>585</v>
      </c>
      <c r="D317" s="87" t="s">
        <v>581</v>
      </c>
      <c r="E317" s="216" t="s">
        <v>572</v>
      </c>
      <c r="F317" s="216" t="s">
        <v>572</v>
      </c>
    </row>
    <row r="318" spans="2:6">
      <c r="B318" s="88">
        <v>404</v>
      </c>
      <c r="D318" s="90" t="s">
        <v>205</v>
      </c>
      <c r="E318" s="90" t="s">
        <v>774</v>
      </c>
      <c r="F318" s="90" t="s">
        <v>774</v>
      </c>
    </row>
    <row r="319" spans="2:6">
      <c r="B319" s="88">
        <v>405</v>
      </c>
      <c r="C319" s="89" t="s">
        <v>585</v>
      </c>
      <c r="D319" s="90" t="s">
        <v>579</v>
      </c>
      <c r="E319" s="216" t="s">
        <v>570</v>
      </c>
      <c r="F319" s="216" t="s">
        <v>570</v>
      </c>
    </row>
    <row r="320" spans="2:6">
      <c r="B320" s="88">
        <v>406</v>
      </c>
      <c r="D320" s="90" t="s">
        <v>206</v>
      </c>
      <c r="E320" s="90" t="s">
        <v>775</v>
      </c>
      <c r="F320" s="90" t="s">
        <v>775</v>
      </c>
    </row>
    <row r="321" spans="1:6" ht="36">
      <c r="B321" s="88">
        <v>407</v>
      </c>
      <c r="D321" s="90" t="s">
        <v>207</v>
      </c>
      <c r="E321" s="90" t="s">
        <v>776</v>
      </c>
      <c r="F321" s="90" t="s">
        <v>776</v>
      </c>
    </row>
    <row r="322" spans="1:6">
      <c r="B322" s="88">
        <v>408</v>
      </c>
      <c r="D322" s="90" t="s">
        <v>208</v>
      </c>
      <c r="E322" s="90" t="s">
        <v>777</v>
      </c>
      <c r="F322" s="90" t="s">
        <v>777</v>
      </c>
    </row>
    <row r="323" spans="1:6">
      <c r="B323" s="88">
        <v>409</v>
      </c>
      <c r="D323" s="90" t="s">
        <v>1046</v>
      </c>
      <c r="E323" s="90" t="s">
        <v>1047</v>
      </c>
      <c r="F323" s="90" t="s">
        <v>1047</v>
      </c>
    </row>
    <row r="324" spans="1:6" ht="24">
      <c r="B324" s="88">
        <v>410</v>
      </c>
      <c r="D324" s="90" t="s">
        <v>209</v>
      </c>
      <c r="E324" s="90" t="s">
        <v>778</v>
      </c>
      <c r="F324" s="90" t="s">
        <v>778</v>
      </c>
    </row>
    <row r="325" spans="1:6">
      <c r="B325" s="88">
        <v>411</v>
      </c>
      <c r="D325" s="90" t="s">
        <v>1054</v>
      </c>
      <c r="E325" s="90" t="s">
        <v>1055</v>
      </c>
      <c r="F325" s="90" t="s">
        <v>1055</v>
      </c>
    </row>
    <row r="326" spans="1:6">
      <c r="B326" s="88">
        <v>412</v>
      </c>
      <c r="D326" s="90" t="s">
        <v>1044</v>
      </c>
      <c r="E326" s="90" t="s">
        <v>1045</v>
      </c>
      <c r="F326" s="90" t="s">
        <v>1045</v>
      </c>
    </row>
    <row r="327" spans="1:6">
      <c r="A327" s="213"/>
      <c r="B327" s="88">
        <v>413</v>
      </c>
      <c r="C327" s="214" t="s">
        <v>490</v>
      </c>
      <c r="D327" s="212" t="s">
        <v>519</v>
      </c>
      <c r="E327" s="212" t="s">
        <v>534</v>
      </c>
      <c r="F327" s="212" t="s">
        <v>534</v>
      </c>
    </row>
    <row r="328" spans="1:6">
      <c r="A328" s="213"/>
      <c r="B328" s="88">
        <v>414</v>
      </c>
      <c r="C328" s="214" t="s">
        <v>490</v>
      </c>
      <c r="D328" s="212" t="s">
        <v>520</v>
      </c>
      <c r="E328" s="212" t="s">
        <v>779</v>
      </c>
      <c r="F328" s="212" t="s">
        <v>779</v>
      </c>
    </row>
    <row r="329" spans="1:6">
      <c r="A329" s="213"/>
      <c r="B329" s="88">
        <v>415</v>
      </c>
      <c r="C329" s="214" t="s">
        <v>490</v>
      </c>
      <c r="D329" s="212" t="s">
        <v>521</v>
      </c>
      <c r="E329" s="212" t="s">
        <v>780</v>
      </c>
      <c r="F329" s="212" t="s">
        <v>780</v>
      </c>
    </row>
    <row r="330" spans="1:6">
      <c r="B330" s="88">
        <v>416</v>
      </c>
      <c r="D330" s="90" t="s">
        <v>210</v>
      </c>
      <c r="E330" s="90" t="s">
        <v>534</v>
      </c>
      <c r="F330" s="90" t="s">
        <v>534</v>
      </c>
    </row>
    <row r="331" spans="1:6">
      <c r="B331" s="88">
        <v>417</v>
      </c>
      <c r="D331" s="90" t="s">
        <v>211</v>
      </c>
      <c r="E331" s="212" t="s">
        <v>781</v>
      </c>
      <c r="F331" s="212" t="s">
        <v>781</v>
      </c>
    </row>
    <row r="332" spans="1:6">
      <c r="B332" s="88">
        <v>418</v>
      </c>
      <c r="D332" s="90" t="s">
        <v>212</v>
      </c>
      <c r="E332" s="90" t="s">
        <v>782</v>
      </c>
      <c r="F332" s="90" t="s">
        <v>782</v>
      </c>
    </row>
    <row r="333" spans="1:6">
      <c r="B333" s="88">
        <v>419</v>
      </c>
      <c r="D333" s="90" t="s">
        <v>213</v>
      </c>
      <c r="E333" s="90" t="s">
        <v>783</v>
      </c>
      <c r="F333" s="90" t="s">
        <v>783</v>
      </c>
    </row>
    <row r="334" spans="1:6">
      <c r="B334" s="88">
        <v>420</v>
      </c>
      <c r="D334" s="90" t="s">
        <v>214</v>
      </c>
      <c r="E334" s="90" t="s">
        <v>784</v>
      </c>
      <c r="F334" s="90" t="s">
        <v>784</v>
      </c>
    </row>
    <row r="335" spans="1:6">
      <c r="B335" s="88">
        <v>421</v>
      </c>
      <c r="D335" s="90" t="s">
        <v>215</v>
      </c>
      <c r="E335" s="90" t="s">
        <v>785</v>
      </c>
      <c r="F335" s="90" t="s">
        <v>785</v>
      </c>
    </row>
    <row r="336" spans="1:6">
      <c r="B336" s="88">
        <v>422</v>
      </c>
      <c r="D336" s="90" t="s">
        <v>216</v>
      </c>
      <c r="E336" s="90" t="s">
        <v>786</v>
      </c>
      <c r="F336" s="90" t="s">
        <v>786</v>
      </c>
    </row>
    <row r="337" spans="2:6">
      <c r="B337" s="88">
        <v>423</v>
      </c>
      <c r="D337" s="90" t="s">
        <v>217</v>
      </c>
      <c r="E337" s="90" t="s">
        <v>787</v>
      </c>
      <c r="F337" s="90" t="s">
        <v>787</v>
      </c>
    </row>
    <row r="338" spans="2:6">
      <c r="B338" s="88">
        <v>424</v>
      </c>
      <c r="D338" s="90" t="s">
        <v>218</v>
      </c>
      <c r="E338" s="90" t="s">
        <v>788</v>
      </c>
      <c r="F338" s="90" t="s">
        <v>788</v>
      </c>
    </row>
    <row r="339" spans="2:6">
      <c r="B339" s="88">
        <v>425</v>
      </c>
      <c r="D339" s="90" t="s">
        <v>219</v>
      </c>
      <c r="E339" s="90" t="s">
        <v>789</v>
      </c>
      <c r="F339" s="90" t="s">
        <v>789</v>
      </c>
    </row>
    <row r="340" spans="2:6">
      <c r="B340" s="88">
        <v>426</v>
      </c>
      <c r="D340" s="90" t="s">
        <v>220</v>
      </c>
      <c r="E340" s="90" t="s">
        <v>790</v>
      </c>
      <c r="F340" s="90" t="s">
        <v>790</v>
      </c>
    </row>
    <row r="341" spans="2:6">
      <c r="B341" s="88">
        <v>427</v>
      </c>
      <c r="D341" s="90" t="s">
        <v>221</v>
      </c>
      <c r="E341" s="90" t="s">
        <v>791</v>
      </c>
      <c r="F341" s="90" t="s">
        <v>791</v>
      </c>
    </row>
    <row r="342" spans="2:6">
      <c r="B342" s="88">
        <v>428</v>
      </c>
      <c r="D342" s="90" t="s">
        <v>222</v>
      </c>
      <c r="E342" s="90" t="s">
        <v>792</v>
      </c>
      <c r="F342" s="90" t="s">
        <v>792</v>
      </c>
    </row>
    <row r="343" spans="2:6">
      <c r="B343" s="88">
        <v>429</v>
      </c>
      <c r="D343" s="90" t="s">
        <v>223</v>
      </c>
      <c r="E343" s="90" t="s">
        <v>793</v>
      </c>
      <c r="F343" s="90" t="s">
        <v>793</v>
      </c>
    </row>
    <row r="344" spans="2:6">
      <c r="B344" s="88">
        <v>430</v>
      </c>
      <c r="D344" s="90" t="s">
        <v>1059</v>
      </c>
      <c r="E344" s="90" t="s">
        <v>1060</v>
      </c>
      <c r="F344" s="90" t="s">
        <v>1060</v>
      </c>
    </row>
    <row r="345" spans="2:6">
      <c r="B345" s="88">
        <v>431</v>
      </c>
      <c r="D345" s="90" t="s">
        <v>1057</v>
      </c>
      <c r="E345" s="90" t="s">
        <v>1058</v>
      </c>
      <c r="F345" s="90" t="s">
        <v>1058</v>
      </c>
    </row>
    <row r="346" spans="2:6">
      <c r="B346" s="88">
        <v>432</v>
      </c>
      <c r="D346" s="90" t="s">
        <v>224</v>
      </c>
      <c r="E346" s="90" t="s">
        <v>1015</v>
      </c>
      <c r="F346" s="90" t="s">
        <v>1015</v>
      </c>
    </row>
    <row r="347" spans="2:6">
      <c r="B347" s="88">
        <v>433</v>
      </c>
      <c r="D347" s="90" t="s">
        <v>225</v>
      </c>
      <c r="E347" s="90" t="s">
        <v>794</v>
      </c>
      <c r="F347" s="90" t="s">
        <v>794</v>
      </c>
    </row>
    <row r="348" spans="2:6">
      <c r="B348" s="88">
        <v>434</v>
      </c>
      <c r="D348" s="90" t="s">
        <v>226</v>
      </c>
      <c r="E348" s="90" t="s">
        <v>795</v>
      </c>
      <c r="F348" s="90" t="s">
        <v>795</v>
      </c>
    </row>
    <row r="349" spans="2:6">
      <c r="B349" s="88">
        <v>435</v>
      </c>
      <c r="D349" s="90" t="s">
        <v>227</v>
      </c>
      <c r="E349" s="90" t="s">
        <v>796</v>
      </c>
      <c r="F349" s="90" t="s">
        <v>796</v>
      </c>
    </row>
    <row r="350" spans="2:6">
      <c r="B350" s="88">
        <v>436</v>
      </c>
      <c r="D350" s="90" t="s">
        <v>228</v>
      </c>
      <c r="E350" s="90" t="s">
        <v>1038</v>
      </c>
      <c r="F350" s="90" t="s">
        <v>1038</v>
      </c>
    </row>
    <row r="351" spans="2:6">
      <c r="B351" s="88">
        <v>437</v>
      </c>
      <c r="D351" s="90" t="s">
        <v>229</v>
      </c>
      <c r="E351" s="90" t="s">
        <v>1039</v>
      </c>
      <c r="F351" s="90" t="s">
        <v>1039</v>
      </c>
    </row>
    <row r="352" spans="2:6">
      <c r="B352" s="88">
        <v>438</v>
      </c>
      <c r="D352" s="90" t="s">
        <v>1061</v>
      </c>
      <c r="E352" s="90" t="s">
        <v>1062</v>
      </c>
      <c r="F352" s="90" t="s">
        <v>1062</v>
      </c>
    </row>
    <row r="353" spans="2:6">
      <c r="B353" s="88">
        <v>439</v>
      </c>
      <c r="D353" s="90" t="s">
        <v>1034</v>
      </c>
      <c r="E353" s="90" t="s">
        <v>1035</v>
      </c>
      <c r="F353" s="90" t="s">
        <v>1035</v>
      </c>
    </row>
    <row r="354" spans="2:6">
      <c r="B354" s="88">
        <v>440</v>
      </c>
      <c r="D354" s="90" t="s">
        <v>468</v>
      </c>
      <c r="E354" s="90" t="s">
        <v>468</v>
      </c>
      <c r="F354" s="90" t="s">
        <v>468</v>
      </c>
    </row>
    <row r="355" spans="2:6" ht="24">
      <c r="B355" s="88">
        <v>441</v>
      </c>
      <c r="C355" s="89" t="s">
        <v>1145</v>
      </c>
      <c r="D355" s="90" t="s">
        <v>1207</v>
      </c>
      <c r="E355" s="90" t="s">
        <v>1206</v>
      </c>
      <c r="F355" s="90" t="s">
        <v>1206</v>
      </c>
    </row>
    <row r="356" spans="2:6">
      <c r="B356" s="88">
        <v>442</v>
      </c>
      <c r="D356" s="90" t="s">
        <v>1260</v>
      </c>
      <c r="E356" s="90" t="s">
        <v>1265</v>
      </c>
      <c r="F356" s="90" t="s">
        <v>1265</v>
      </c>
    </row>
    <row r="357" spans="2:6">
      <c r="B357" s="88">
        <v>443</v>
      </c>
      <c r="C357" s="89" t="s">
        <v>585</v>
      </c>
      <c r="D357" s="90" t="s">
        <v>968</v>
      </c>
      <c r="E357" s="90" t="s">
        <v>970</v>
      </c>
      <c r="F357" s="90" t="s">
        <v>970</v>
      </c>
    </row>
    <row r="358" spans="2:6">
      <c r="B358" s="88">
        <v>444</v>
      </c>
      <c r="D358" s="90" t="s">
        <v>230</v>
      </c>
      <c r="E358" s="90" t="s">
        <v>1016</v>
      </c>
      <c r="F358" s="90" t="s">
        <v>1016</v>
      </c>
    </row>
    <row r="359" spans="2:6" ht="24">
      <c r="B359" s="88">
        <v>445</v>
      </c>
      <c r="D359" s="90" t="s">
        <v>231</v>
      </c>
      <c r="E359" s="90" t="s">
        <v>797</v>
      </c>
      <c r="F359" s="90" t="s">
        <v>797</v>
      </c>
    </row>
    <row r="360" spans="2:6">
      <c r="B360" s="88">
        <v>446</v>
      </c>
      <c r="D360" s="90" t="s">
        <v>232</v>
      </c>
      <c r="E360" s="90" t="s">
        <v>798</v>
      </c>
      <c r="F360" s="90" t="s">
        <v>798</v>
      </c>
    </row>
    <row r="361" spans="2:6">
      <c r="B361" s="88">
        <v>447</v>
      </c>
      <c r="D361" s="90" t="s">
        <v>1273</v>
      </c>
      <c r="E361" s="90" t="s">
        <v>1270</v>
      </c>
      <c r="F361" s="90" t="s">
        <v>1270</v>
      </c>
    </row>
    <row r="362" spans="2:6" ht="24">
      <c r="B362" s="88">
        <v>448</v>
      </c>
      <c r="D362" s="90" t="s">
        <v>233</v>
      </c>
      <c r="E362" s="90" t="s">
        <v>799</v>
      </c>
      <c r="F362" s="90" t="s">
        <v>799</v>
      </c>
    </row>
    <row r="363" spans="2:6">
      <c r="B363" s="88">
        <v>449</v>
      </c>
      <c r="D363" s="212" t="s">
        <v>522</v>
      </c>
      <c r="E363" s="90" t="s">
        <v>523</v>
      </c>
      <c r="F363" s="90" t="s">
        <v>523</v>
      </c>
    </row>
    <row r="364" spans="2:6">
      <c r="B364" s="88">
        <v>450</v>
      </c>
      <c r="D364" s="90" t="s">
        <v>469</v>
      </c>
      <c r="E364" s="90" t="s">
        <v>800</v>
      </c>
      <c r="F364" s="90" t="s">
        <v>800</v>
      </c>
    </row>
    <row r="365" spans="2:6">
      <c r="B365" s="88">
        <v>451</v>
      </c>
      <c r="D365" s="90" t="s">
        <v>234</v>
      </c>
      <c r="E365" s="90" t="s">
        <v>801</v>
      </c>
      <c r="F365" s="90" t="s">
        <v>801</v>
      </c>
    </row>
    <row r="366" spans="2:6">
      <c r="B366" s="88">
        <v>452</v>
      </c>
      <c r="D366" s="90" t="s">
        <v>470</v>
      </c>
      <c r="E366" s="90" t="s">
        <v>966</v>
      </c>
      <c r="F366" s="90" t="s">
        <v>966</v>
      </c>
    </row>
    <row r="367" spans="2:6">
      <c r="B367" s="88">
        <v>453</v>
      </c>
      <c r="D367" s="90" t="s">
        <v>235</v>
      </c>
      <c r="E367" s="90" t="s">
        <v>802</v>
      </c>
      <c r="F367" s="90" t="s">
        <v>802</v>
      </c>
    </row>
    <row r="368" spans="2:6">
      <c r="B368" s="88">
        <v>454</v>
      </c>
      <c r="D368" s="90" t="s">
        <v>236</v>
      </c>
      <c r="E368" s="90" t="s">
        <v>803</v>
      </c>
      <c r="F368" s="90" t="s">
        <v>803</v>
      </c>
    </row>
    <row r="369" spans="2:6">
      <c r="B369" s="88">
        <v>455</v>
      </c>
      <c r="C369" s="89" t="s">
        <v>1145</v>
      </c>
      <c r="D369" s="90" t="s">
        <v>1197</v>
      </c>
      <c r="E369" s="90" t="s">
        <v>568</v>
      </c>
      <c r="F369" s="90" t="s">
        <v>568</v>
      </c>
    </row>
    <row r="370" spans="2:6">
      <c r="B370" s="88">
        <v>456</v>
      </c>
      <c r="D370" s="90" t="s">
        <v>237</v>
      </c>
      <c r="E370" s="90" t="s">
        <v>568</v>
      </c>
      <c r="F370" s="90" t="s">
        <v>568</v>
      </c>
    </row>
    <row r="371" spans="2:6">
      <c r="B371" s="88">
        <v>457</v>
      </c>
      <c r="D371" s="90" t="s">
        <v>238</v>
      </c>
      <c r="E371" s="90" t="s">
        <v>804</v>
      </c>
      <c r="F371" s="90" t="s">
        <v>804</v>
      </c>
    </row>
    <row r="372" spans="2:6">
      <c r="B372" s="88">
        <v>458</v>
      </c>
      <c r="D372" s="90" t="s">
        <v>1495</v>
      </c>
      <c r="E372" s="90" t="s">
        <v>1494</v>
      </c>
      <c r="F372" s="90" t="s">
        <v>1494</v>
      </c>
    </row>
    <row r="373" spans="2:6">
      <c r="B373" s="88">
        <v>459</v>
      </c>
      <c r="D373" s="90" t="s">
        <v>239</v>
      </c>
      <c r="E373" s="90" t="s">
        <v>805</v>
      </c>
      <c r="F373" s="90" t="s">
        <v>805</v>
      </c>
    </row>
    <row r="374" spans="2:6">
      <c r="B374" s="88">
        <v>460</v>
      </c>
      <c r="D374" s="90" t="s">
        <v>240</v>
      </c>
      <c r="F374" s="90"/>
    </row>
    <row r="375" spans="2:6">
      <c r="B375" s="88">
        <v>461</v>
      </c>
      <c r="D375" s="90" t="s">
        <v>471</v>
      </c>
      <c r="E375" s="90" t="s">
        <v>806</v>
      </c>
      <c r="F375" s="90" t="s">
        <v>806</v>
      </c>
    </row>
    <row r="376" spans="2:6" ht="24">
      <c r="B376" s="88">
        <v>462</v>
      </c>
      <c r="D376" s="90" t="s">
        <v>1405</v>
      </c>
      <c r="E376" s="90" t="s">
        <v>807</v>
      </c>
      <c r="F376" s="90" t="s">
        <v>807</v>
      </c>
    </row>
    <row r="377" spans="2:6" ht="24">
      <c r="B377" s="88">
        <v>463</v>
      </c>
      <c r="D377" s="90" t="s">
        <v>241</v>
      </c>
      <c r="E377" s="90" t="s">
        <v>808</v>
      </c>
      <c r="F377" s="90" t="s">
        <v>808</v>
      </c>
    </row>
    <row r="378" spans="2:6">
      <c r="B378" s="88">
        <v>464</v>
      </c>
      <c r="D378" s="90" t="s">
        <v>242</v>
      </c>
      <c r="E378" s="90" t="s">
        <v>809</v>
      </c>
      <c r="F378" s="90" t="s">
        <v>809</v>
      </c>
    </row>
    <row r="379" spans="2:6">
      <c r="B379" s="88">
        <v>465</v>
      </c>
      <c r="D379" s="90" t="s">
        <v>243</v>
      </c>
      <c r="E379" s="90" t="s">
        <v>810</v>
      </c>
      <c r="F379" s="90" t="s">
        <v>810</v>
      </c>
    </row>
    <row r="380" spans="2:6">
      <c r="B380" s="88">
        <v>466</v>
      </c>
      <c r="C380" s="89" t="s">
        <v>1145</v>
      </c>
      <c r="D380" s="90" t="s">
        <v>1189</v>
      </c>
      <c r="E380" s="90" t="s">
        <v>1152</v>
      </c>
      <c r="F380" s="90" t="s">
        <v>1152</v>
      </c>
    </row>
    <row r="381" spans="2:6">
      <c r="B381" s="88">
        <v>467</v>
      </c>
      <c r="C381" s="89" t="s">
        <v>1145</v>
      </c>
      <c r="D381" s="90" t="s">
        <v>1194</v>
      </c>
      <c r="E381" s="90" t="s">
        <v>1158</v>
      </c>
      <c r="F381" s="90" t="s">
        <v>1158</v>
      </c>
    </row>
    <row r="382" spans="2:6">
      <c r="B382" s="88">
        <v>468</v>
      </c>
      <c r="D382" s="90" t="s">
        <v>244</v>
      </c>
      <c r="E382" s="90" t="s">
        <v>811</v>
      </c>
      <c r="F382" s="90" t="s">
        <v>811</v>
      </c>
    </row>
    <row r="383" spans="2:6">
      <c r="B383" s="88">
        <v>469</v>
      </c>
      <c r="C383" s="89" t="s">
        <v>1145</v>
      </c>
      <c r="D383" s="90" t="s">
        <v>1185</v>
      </c>
      <c r="E383" s="90" t="s">
        <v>1148</v>
      </c>
      <c r="F383" s="90" t="s">
        <v>1148</v>
      </c>
    </row>
    <row r="384" spans="2:6" ht="24">
      <c r="B384" s="88">
        <v>470</v>
      </c>
      <c r="C384" s="89" t="s">
        <v>1145</v>
      </c>
      <c r="D384" s="90" t="s">
        <v>1187</v>
      </c>
      <c r="E384" s="90" t="s">
        <v>1151</v>
      </c>
      <c r="F384" s="90" t="s">
        <v>1151</v>
      </c>
    </row>
    <row r="385" spans="2:6">
      <c r="B385" s="88">
        <v>471</v>
      </c>
      <c r="C385" s="89" t="s">
        <v>1145</v>
      </c>
      <c r="D385" s="90" t="s">
        <v>1188</v>
      </c>
      <c r="E385" s="90" t="s">
        <v>1150</v>
      </c>
      <c r="F385" s="90" t="s">
        <v>1150</v>
      </c>
    </row>
    <row r="386" spans="2:6">
      <c r="B386" s="88">
        <v>472</v>
      </c>
      <c r="D386" s="90" t="s">
        <v>245</v>
      </c>
      <c r="E386" s="90" t="s">
        <v>812</v>
      </c>
      <c r="F386" s="90" t="s">
        <v>812</v>
      </c>
    </row>
    <row r="387" spans="2:6">
      <c r="B387" s="88">
        <v>473</v>
      </c>
      <c r="D387" s="90" t="s">
        <v>246</v>
      </c>
      <c r="E387" s="90" t="s">
        <v>813</v>
      </c>
      <c r="F387" s="90" t="s">
        <v>813</v>
      </c>
    </row>
    <row r="388" spans="2:6" ht="36">
      <c r="B388" s="88">
        <v>474</v>
      </c>
      <c r="C388" s="89" t="s">
        <v>1145</v>
      </c>
      <c r="D388" s="90" t="s">
        <v>1209</v>
      </c>
      <c r="E388" s="90" t="s">
        <v>1169</v>
      </c>
      <c r="F388" s="90" t="s">
        <v>1169</v>
      </c>
    </row>
    <row r="389" spans="2:6">
      <c r="B389" s="88">
        <v>475</v>
      </c>
      <c r="D389" s="90" t="s">
        <v>247</v>
      </c>
      <c r="E389" s="90" t="s">
        <v>814</v>
      </c>
      <c r="F389" s="90" t="s">
        <v>814</v>
      </c>
    </row>
    <row r="390" spans="2:6">
      <c r="B390" s="88">
        <v>476</v>
      </c>
      <c r="D390" s="90" t="s">
        <v>1505</v>
      </c>
      <c r="E390" s="90" t="s">
        <v>1506</v>
      </c>
      <c r="F390" s="90" t="s">
        <v>1506</v>
      </c>
    </row>
    <row r="391" spans="2:6">
      <c r="B391" s="88">
        <v>477</v>
      </c>
      <c r="D391" s="90" t="s">
        <v>248</v>
      </c>
      <c r="E391" s="90" t="s">
        <v>559</v>
      </c>
      <c r="F391" s="90" t="s">
        <v>559</v>
      </c>
    </row>
    <row r="392" spans="2:6">
      <c r="B392" s="88">
        <v>478</v>
      </c>
      <c r="D392" s="90" t="s">
        <v>249</v>
      </c>
      <c r="E392" s="90" t="s">
        <v>815</v>
      </c>
      <c r="F392" s="90" t="s">
        <v>815</v>
      </c>
    </row>
    <row r="393" spans="2:6">
      <c r="B393" s="88">
        <v>479</v>
      </c>
      <c r="D393" s="90" t="s">
        <v>250</v>
      </c>
      <c r="E393" s="90" t="s">
        <v>816</v>
      </c>
      <c r="F393" s="90" t="s">
        <v>816</v>
      </c>
    </row>
    <row r="394" spans="2:6">
      <c r="B394" s="88">
        <v>480</v>
      </c>
      <c r="D394" s="90" t="s">
        <v>251</v>
      </c>
      <c r="E394" s="90" t="s">
        <v>817</v>
      </c>
      <c r="F394" s="90" t="s">
        <v>817</v>
      </c>
    </row>
    <row r="395" spans="2:6" ht="24">
      <c r="B395" s="88">
        <v>481</v>
      </c>
      <c r="D395" s="90" t="s">
        <v>252</v>
      </c>
      <c r="E395" s="90" t="s">
        <v>818</v>
      </c>
      <c r="F395" s="90" t="s">
        <v>818</v>
      </c>
    </row>
    <row r="396" spans="2:6">
      <c r="B396" s="88">
        <v>482</v>
      </c>
      <c r="D396" s="90" t="s">
        <v>1501</v>
      </c>
      <c r="E396" s="90" t="s">
        <v>1421</v>
      </c>
      <c r="F396" s="90" t="s">
        <v>1421</v>
      </c>
    </row>
    <row r="397" spans="2:6">
      <c r="B397" s="88">
        <v>483</v>
      </c>
      <c r="D397" s="90" t="s">
        <v>1499</v>
      </c>
      <c r="E397" s="90" t="s">
        <v>1416</v>
      </c>
      <c r="F397" s="90" t="s">
        <v>1416</v>
      </c>
    </row>
    <row r="398" spans="2:6">
      <c r="B398" s="88">
        <v>484</v>
      </c>
      <c r="D398" s="90" t="s">
        <v>1500</v>
      </c>
      <c r="E398" s="90" t="s">
        <v>1417</v>
      </c>
      <c r="F398" s="90" t="s">
        <v>1417</v>
      </c>
    </row>
    <row r="399" spans="2:6">
      <c r="B399" s="88">
        <v>485</v>
      </c>
      <c r="D399" s="90" t="s">
        <v>253</v>
      </c>
      <c r="E399" s="90" t="s">
        <v>819</v>
      </c>
      <c r="F399" s="90" t="s">
        <v>819</v>
      </c>
    </row>
    <row r="400" spans="2:6">
      <c r="B400" s="88">
        <v>486</v>
      </c>
      <c r="C400" s="89" t="s">
        <v>585</v>
      </c>
      <c r="D400" s="90" t="s">
        <v>964</v>
      </c>
      <c r="E400" s="90" t="s">
        <v>965</v>
      </c>
      <c r="F400" s="90" t="s">
        <v>965</v>
      </c>
    </row>
    <row r="401" spans="2:6">
      <c r="B401" s="88">
        <v>487</v>
      </c>
      <c r="D401" s="90" t="s">
        <v>254</v>
      </c>
      <c r="E401" s="90" t="s">
        <v>820</v>
      </c>
      <c r="F401" s="90" t="s">
        <v>820</v>
      </c>
    </row>
    <row r="402" spans="2:6">
      <c r="B402" s="88">
        <v>488</v>
      </c>
      <c r="C402" s="89" t="s">
        <v>998</v>
      </c>
      <c r="D402" s="90" t="s">
        <v>994</v>
      </c>
      <c r="E402" s="90" t="s">
        <v>990</v>
      </c>
      <c r="F402" s="90" t="s">
        <v>990</v>
      </c>
    </row>
    <row r="403" spans="2:6">
      <c r="B403" s="88">
        <v>489</v>
      </c>
      <c r="C403" s="89" t="s">
        <v>998</v>
      </c>
      <c r="D403" s="90" t="s">
        <v>993</v>
      </c>
      <c r="E403" s="90" t="s">
        <v>991</v>
      </c>
      <c r="F403" s="90" t="s">
        <v>991</v>
      </c>
    </row>
    <row r="404" spans="2:6">
      <c r="B404" s="88">
        <v>490</v>
      </c>
      <c r="D404" s="90" t="s">
        <v>255</v>
      </c>
      <c r="E404" s="90" t="s">
        <v>566</v>
      </c>
      <c r="F404" s="90" t="s">
        <v>566</v>
      </c>
    </row>
    <row r="405" spans="2:6">
      <c r="B405" s="88">
        <v>491</v>
      </c>
      <c r="D405" s="90" t="s">
        <v>256</v>
      </c>
      <c r="E405" s="90" t="s">
        <v>821</v>
      </c>
      <c r="F405" s="90" t="s">
        <v>821</v>
      </c>
    </row>
    <row r="406" spans="2:6">
      <c r="B406" s="88">
        <v>492</v>
      </c>
      <c r="C406" s="89" t="s">
        <v>1145</v>
      </c>
      <c r="D406" s="90" t="s">
        <v>1193</v>
      </c>
      <c r="E406" s="90" t="s">
        <v>1157</v>
      </c>
      <c r="F406" s="90" t="s">
        <v>1157</v>
      </c>
    </row>
    <row r="407" spans="2:6">
      <c r="B407" s="88">
        <v>493</v>
      </c>
      <c r="D407" s="90" t="s">
        <v>257</v>
      </c>
      <c r="E407" s="90" t="s">
        <v>822</v>
      </c>
      <c r="F407" s="90" t="s">
        <v>822</v>
      </c>
    </row>
    <row r="408" spans="2:6" ht="48">
      <c r="B408" s="88">
        <v>494</v>
      </c>
      <c r="D408" s="90" t="s">
        <v>258</v>
      </c>
      <c r="E408" s="90" t="s">
        <v>823</v>
      </c>
      <c r="F408" s="90" t="s">
        <v>823</v>
      </c>
    </row>
    <row r="409" spans="2:6">
      <c r="B409" s="88">
        <v>495</v>
      </c>
      <c r="D409" s="90" t="s">
        <v>259</v>
      </c>
      <c r="E409" s="90" t="s">
        <v>824</v>
      </c>
      <c r="F409" s="90" t="s">
        <v>824</v>
      </c>
    </row>
    <row r="410" spans="2:6" ht="24">
      <c r="B410" s="88">
        <v>496</v>
      </c>
      <c r="D410" s="90" t="s">
        <v>260</v>
      </c>
      <c r="E410" s="90" t="s">
        <v>825</v>
      </c>
      <c r="F410" s="90" t="s">
        <v>825</v>
      </c>
    </row>
    <row r="411" spans="2:6" ht="24">
      <c r="B411" s="88">
        <v>497</v>
      </c>
      <c r="D411" s="90" t="s">
        <v>261</v>
      </c>
      <c r="E411" s="90" t="s">
        <v>826</v>
      </c>
      <c r="F411" s="90" t="s">
        <v>826</v>
      </c>
    </row>
    <row r="412" spans="2:6" ht="24">
      <c r="B412" s="88">
        <v>498</v>
      </c>
      <c r="D412" s="90" t="s">
        <v>262</v>
      </c>
      <c r="E412" s="90" t="s">
        <v>827</v>
      </c>
      <c r="F412" s="90" t="s">
        <v>827</v>
      </c>
    </row>
    <row r="413" spans="2:6" ht="24">
      <c r="B413" s="88">
        <v>499</v>
      </c>
      <c r="D413" s="90" t="s">
        <v>263</v>
      </c>
      <c r="E413" s="90" t="s">
        <v>828</v>
      </c>
      <c r="F413" s="90" t="s">
        <v>828</v>
      </c>
    </row>
    <row r="414" spans="2:6" ht="24">
      <c r="B414" s="88">
        <v>500</v>
      </c>
      <c r="D414" s="90" t="s">
        <v>264</v>
      </c>
      <c r="E414" s="90" t="s">
        <v>829</v>
      </c>
      <c r="F414" s="90" t="s">
        <v>829</v>
      </c>
    </row>
    <row r="415" spans="2:6" ht="24">
      <c r="B415" s="88">
        <v>501</v>
      </c>
      <c r="D415" s="90" t="s">
        <v>265</v>
      </c>
      <c r="E415" s="90" t="s">
        <v>830</v>
      </c>
      <c r="F415" s="90" t="s">
        <v>830</v>
      </c>
    </row>
    <row r="416" spans="2:6" ht="24">
      <c r="B416" s="88">
        <v>502</v>
      </c>
      <c r="D416" s="90" t="s">
        <v>266</v>
      </c>
      <c r="E416" s="90" t="s">
        <v>831</v>
      </c>
      <c r="F416" s="90" t="s">
        <v>831</v>
      </c>
    </row>
    <row r="417" spans="2:6" ht="24">
      <c r="B417" s="88">
        <v>503</v>
      </c>
      <c r="D417" s="90" t="s">
        <v>267</v>
      </c>
      <c r="E417" s="90" t="s">
        <v>832</v>
      </c>
      <c r="F417" s="90" t="s">
        <v>832</v>
      </c>
    </row>
    <row r="418" spans="2:6" ht="24">
      <c r="B418" s="88">
        <v>504</v>
      </c>
      <c r="D418" s="90" t="s">
        <v>268</v>
      </c>
      <c r="E418" s="90" t="s">
        <v>833</v>
      </c>
      <c r="F418" s="90" t="s">
        <v>833</v>
      </c>
    </row>
    <row r="419" spans="2:6" ht="24">
      <c r="B419" s="88">
        <v>505</v>
      </c>
      <c r="D419" s="90" t="s">
        <v>269</v>
      </c>
      <c r="E419" s="90" t="s">
        <v>834</v>
      </c>
      <c r="F419" s="90" t="s">
        <v>834</v>
      </c>
    </row>
    <row r="420" spans="2:6" ht="24">
      <c r="B420" s="88">
        <v>506</v>
      </c>
      <c r="D420" s="90" t="s">
        <v>270</v>
      </c>
      <c r="E420" s="90" t="s">
        <v>835</v>
      </c>
      <c r="F420" s="90" t="s">
        <v>835</v>
      </c>
    </row>
    <row r="421" spans="2:6" ht="24">
      <c r="B421" s="88">
        <v>507</v>
      </c>
      <c r="D421" s="90" t="s">
        <v>271</v>
      </c>
      <c r="E421" s="90" t="s">
        <v>836</v>
      </c>
      <c r="F421" s="90" t="s">
        <v>836</v>
      </c>
    </row>
    <row r="422" spans="2:6" ht="24">
      <c r="B422" s="88">
        <v>508</v>
      </c>
      <c r="D422" s="90" t="s">
        <v>272</v>
      </c>
      <c r="E422" s="90" t="s">
        <v>837</v>
      </c>
      <c r="F422" s="90" t="s">
        <v>837</v>
      </c>
    </row>
    <row r="423" spans="2:6" ht="24">
      <c r="B423" s="88">
        <v>509</v>
      </c>
      <c r="D423" s="90" t="s">
        <v>273</v>
      </c>
      <c r="E423" s="90" t="s">
        <v>838</v>
      </c>
      <c r="F423" s="90" t="s">
        <v>838</v>
      </c>
    </row>
    <row r="424" spans="2:6" ht="24">
      <c r="B424" s="88">
        <v>510</v>
      </c>
      <c r="D424" s="90" t="s">
        <v>274</v>
      </c>
      <c r="E424" s="90" t="s">
        <v>839</v>
      </c>
      <c r="F424" s="90" t="s">
        <v>839</v>
      </c>
    </row>
    <row r="425" spans="2:6" ht="24">
      <c r="B425" s="88">
        <v>511</v>
      </c>
      <c r="D425" s="90" t="s">
        <v>275</v>
      </c>
      <c r="E425" s="90" t="s">
        <v>840</v>
      </c>
      <c r="F425" s="90" t="s">
        <v>840</v>
      </c>
    </row>
    <row r="426" spans="2:6" ht="24">
      <c r="B426" s="88">
        <v>512</v>
      </c>
      <c r="D426" s="90" t="s">
        <v>276</v>
      </c>
      <c r="E426" s="90" t="s">
        <v>841</v>
      </c>
      <c r="F426" s="90" t="s">
        <v>841</v>
      </c>
    </row>
    <row r="427" spans="2:6" ht="24">
      <c r="B427" s="88">
        <v>513</v>
      </c>
      <c r="D427" s="90" t="s">
        <v>277</v>
      </c>
      <c r="E427" s="90" t="s">
        <v>842</v>
      </c>
      <c r="F427" s="90" t="s">
        <v>842</v>
      </c>
    </row>
    <row r="428" spans="2:6" ht="24">
      <c r="B428" s="88">
        <v>514</v>
      </c>
      <c r="D428" s="90" t="s">
        <v>278</v>
      </c>
      <c r="E428" s="90" t="s">
        <v>843</v>
      </c>
      <c r="F428" s="90" t="s">
        <v>843</v>
      </c>
    </row>
    <row r="429" spans="2:6" ht="24">
      <c r="B429" s="88">
        <v>515</v>
      </c>
      <c r="D429" s="90" t="s">
        <v>279</v>
      </c>
      <c r="E429" s="90" t="s">
        <v>844</v>
      </c>
      <c r="F429" s="90" t="s">
        <v>844</v>
      </c>
    </row>
    <row r="430" spans="2:6" ht="24">
      <c r="B430" s="88">
        <v>516</v>
      </c>
      <c r="D430" s="90" t="s">
        <v>280</v>
      </c>
      <c r="E430" s="90" t="s">
        <v>845</v>
      </c>
      <c r="F430" s="90" t="s">
        <v>845</v>
      </c>
    </row>
    <row r="431" spans="2:6" ht="24">
      <c r="B431" s="88">
        <v>517</v>
      </c>
      <c r="D431" s="90" t="s">
        <v>472</v>
      </c>
      <c r="E431" s="90" t="s">
        <v>846</v>
      </c>
      <c r="F431" s="90" t="s">
        <v>846</v>
      </c>
    </row>
    <row r="432" spans="2:6" ht="24">
      <c r="B432" s="88">
        <v>518</v>
      </c>
      <c r="D432" s="90" t="s">
        <v>473</v>
      </c>
      <c r="E432" s="90" t="s">
        <v>846</v>
      </c>
      <c r="F432" s="90" t="s">
        <v>846</v>
      </c>
    </row>
    <row r="433" spans="1:27" ht="24">
      <c r="B433" s="88">
        <v>519</v>
      </c>
      <c r="D433" s="90" t="s">
        <v>281</v>
      </c>
      <c r="E433" s="90" t="s">
        <v>847</v>
      </c>
      <c r="F433" s="90" t="s">
        <v>847</v>
      </c>
    </row>
    <row r="434" spans="1:27" ht="24">
      <c r="B434" s="88">
        <v>520</v>
      </c>
      <c r="D434" s="90" t="s">
        <v>282</v>
      </c>
      <c r="E434" s="90" t="s">
        <v>848</v>
      </c>
      <c r="F434" s="90" t="s">
        <v>848</v>
      </c>
    </row>
    <row r="435" spans="1:27" ht="24">
      <c r="B435" s="88">
        <v>521</v>
      </c>
      <c r="D435" s="90" t="s">
        <v>283</v>
      </c>
      <c r="E435" s="90" t="s">
        <v>849</v>
      </c>
      <c r="F435" s="90" t="s">
        <v>849</v>
      </c>
    </row>
    <row r="436" spans="1:27" ht="24">
      <c r="B436" s="88">
        <v>522</v>
      </c>
      <c r="D436" s="90" t="s">
        <v>284</v>
      </c>
      <c r="E436" s="90" t="s">
        <v>850</v>
      </c>
      <c r="F436" s="90" t="s">
        <v>850</v>
      </c>
    </row>
    <row r="437" spans="1:27" ht="24">
      <c r="B437" s="88">
        <v>523</v>
      </c>
      <c r="D437" s="90" t="s">
        <v>474</v>
      </c>
      <c r="E437" s="90" t="s">
        <v>851</v>
      </c>
      <c r="F437" s="90" t="s">
        <v>851</v>
      </c>
    </row>
    <row r="438" spans="1:27" s="212" customFormat="1" ht="24">
      <c r="A438" s="87"/>
      <c r="B438" s="88">
        <v>524</v>
      </c>
      <c r="C438" s="89"/>
      <c r="D438" s="90" t="s">
        <v>475</v>
      </c>
      <c r="E438" s="90" t="s">
        <v>852</v>
      </c>
      <c r="F438" s="90" t="s">
        <v>852</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12" customFormat="1">
      <c r="A439" s="87"/>
      <c r="B439" s="88">
        <v>525</v>
      </c>
      <c r="C439" s="89"/>
      <c r="D439" s="90" t="s">
        <v>285</v>
      </c>
      <c r="E439" s="90" t="s">
        <v>853</v>
      </c>
      <c r="F439" s="90" t="s">
        <v>853</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13" customFormat="1" ht="36">
      <c r="A440" s="87"/>
      <c r="B440" s="88">
        <v>526</v>
      </c>
      <c r="C440" s="89"/>
      <c r="D440" s="90" t="s">
        <v>286</v>
      </c>
      <c r="E440" s="90" t="s">
        <v>854</v>
      </c>
      <c r="F440" s="90" t="s">
        <v>854</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13" customFormat="1">
      <c r="A441" s="87"/>
      <c r="B441" s="88">
        <v>527</v>
      </c>
      <c r="C441" s="89"/>
      <c r="D441" s="90" t="s">
        <v>287</v>
      </c>
      <c r="E441" s="90" t="s">
        <v>855</v>
      </c>
      <c r="F441" s="90" t="s">
        <v>855</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13" customFormat="1" ht="36">
      <c r="A442" s="87"/>
      <c r="B442" s="88">
        <v>528</v>
      </c>
      <c r="C442" s="89"/>
      <c r="D442" s="90" t="s">
        <v>288</v>
      </c>
      <c r="E442" s="90" t="s">
        <v>856</v>
      </c>
      <c r="F442" s="90" t="s">
        <v>856</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13" customFormat="1" ht="24">
      <c r="A443" s="87"/>
      <c r="B443" s="88">
        <v>529</v>
      </c>
      <c r="C443" s="89"/>
      <c r="D443" s="90" t="s">
        <v>289</v>
      </c>
      <c r="E443" s="90" t="s">
        <v>857</v>
      </c>
      <c r="F443" s="90" t="s">
        <v>857</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13" customFormat="1" ht="24">
      <c r="A444" s="87"/>
      <c r="B444" s="88">
        <v>530</v>
      </c>
      <c r="C444" s="89"/>
      <c r="D444" s="90" t="s">
        <v>290</v>
      </c>
      <c r="E444" s="90" t="s">
        <v>858</v>
      </c>
      <c r="F444" s="90" t="s">
        <v>858</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13" customFormat="1" ht="24">
      <c r="A445" s="87"/>
      <c r="B445" s="88">
        <v>531</v>
      </c>
      <c r="C445" s="89"/>
      <c r="D445" s="90" t="s">
        <v>291</v>
      </c>
      <c r="E445" s="90" t="s">
        <v>859</v>
      </c>
      <c r="F445" s="90" t="s">
        <v>859</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13" customFormat="1" ht="24">
      <c r="A446" s="87"/>
      <c r="B446" s="88">
        <v>532</v>
      </c>
      <c r="C446" s="89"/>
      <c r="D446" s="90" t="s">
        <v>292</v>
      </c>
      <c r="E446" s="90" t="s">
        <v>860</v>
      </c>
      <c r="F446" s="90" t="s">
        <v>860</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13" customFormat="1">
      <c r="A447" s="87"/>
      <c r="B447" s="88">
        <v>533</v>
      </c>
      <c r="C447" s="89"/>
      <c r="D447" s="90" t="s">
        <v>293</v>
      </c>
      <c r="E447" s="90" t="s">
        <v>861</v>
      </c>
      <c r="F447" s="90" t="s">
        <v>861</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13" customFormat="1">
      <c r="A448" s="87"/>
      <c r="B448" s="88">
        <v>534</v>
      </c>
      <c r="C448" s="89"/>
      <c r="D448" s="90" t="s">
        <v>294</v>
      </c>
      <c r="E448" s="90" t="s">
        <v>862</v>
      </c>
      <c r="F448" s="90" t="s">
        <v>862</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13" customFormat="1" ht="24">
      <c r="A449" s="87"/>
      <c r="B449" s="88">
        <v>535</v>
      </c>
      <c r="C449" s="89"/>
      <c r="D449" s="90" t="s">
        <v>295</v>
      </c>
      <c r="E449" s="90" t="s">
        <v>863</v>
      </c>
      <c r="F449" s="90" t="s">
        <v>863</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13" customFormat="1">
      <c r="A450" s="87"/>
      <c r="B450" s="88">
        <v>536</v>
      </c>
      <c r="C450" s="89"/>
      <c r="D450" s="90" t="s">
        <v>296</v>
      </c>
      <c r="E450" s="90" t="s">
        <v>864</v>
      </c>
      <c r="F450" s="90" t="s">
        <v>864</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865</v>
      </c>
      <c r="F451" s="90" t="s">
        <v>865</v>
      </c>
    </row>
    <row r="452" spans="1:27">
      <c r="B452" s="88">
        <v>538</v>
      </c>
      <c r="D452" s="90" t="s">
        <v>298</v>
      </c>
      <c r="E452" s="90" t="s">
        <v>866</v>
      </c>
      <c r="F452" s="90" t="s">
        <v>866</v>
      </c>
    </row>
    <row r="453" spans="1:27" ht="24">
      <c r="B453" s="88">
        <v>539</v>
      </c>
      <c r="D453" s="90" t="s">
        <v>476</v>
      </c>
      <c r="E453" s="90" t="s">
        <v>867</v>
      </c>
      <c r="F453" s="90" t="s">
        <v>867</v>
      </c>
    </row>
    <row r="454" spans="1:27" ht="48">
      <c r="A454" s="212"/>
      <c r="B454" s="88">
        <v>540</v>
      </c>
      <c r="C454" s="218" t="s">
        <v>508</v>
      </c>
      <c r="D454" s="212" t="s">
        <v>524</v>
      </c>
      <c r="E454" s="212" t="s">
        <v>868</v>
      </c>
      <c r="F454" s="212" t="s">
        <v>868</v>
      </c>
    </row>
    <row r="455" spans="1:27" ht="36">
      <c r="B455" s="88">
        <v>541</v>
      </c>
      <c r="D455" s="90" t="s">
        <v>299</v>
      </c>
      <c r="E455" s="90" t="s">
        <v>869</v>
      </c>
      <c r="F455" s="90" t="s">
        <v>869</v>
      </c>
    </row>
    <row r="456" spans="1:27">
      <c r="B456" s="88">
        <v>542</v>
      </c>
      <c r="D456" s="90" t="s">
        <v>300</v>
      </c>
      <c r="E456" s="90" t="s">
        <v>870</v>
      </c>
      <c r="F456" s="90" t="s">
        <v>870</v>
      </c>
    </row>
    <row r="457" spans="1:27">
      <c r="B457" s="88">
        <v>543</v>
      </c>
      <c r="D457" s="90" t="s">
        <v>301</v>
      </c>
      <c r="E457" s="90" t="s">
        <v>871</v>
      </c>
      <c r="F457" s="90" t="s">
        <v>871</v>
      </c>
    </row>
    <row r="458" spans="1:27">
      <c r="B458" s="88">
        <v>544</v>
      </c>
      <c r="D458" s="90" t="s">
        <v>302</v>
      </c>
      <c r="E458" s="90" t="s">
        <v>872</v>
      </c>
      <c r="F458" s="90" t="s">
        <v>872</v>
      </c>
    </row>
    <row r="459" spans="1:27" ht="24">
      <c r="B459" s="88">
        <v>545</v>
      </c>
      <c r="D459" s="90" t="s">
        <v>988</v>
      </c>
      <c r="E459" s="90" t="s">
        <v>989</v>
      </c>
      <c r="F459" s="90" t="s">
        <v>989</v>
      </c>
    </row>
    <row r="460" spans="1:27">
      <c r="B460" s="88">
        <v>546</v>
      </c>
      <c r="D460" s="90" t="s">
        <v>303</v>
      </c>
      <c r="E460" s="90" t="s">
        <v>873</v>
      </c>
      <c r="F460" s="90" t="s">
        <v>873</v>
      </c>
    </row>
    <row r="461" spans="1:27">
      <c r="B461" s="88">
        <v>547</v>
      </c>
      <c r="D461" s="90" t="s">
        <v>304</v>
      </c>
      <c r="E461" s="90" t="s">
        <v>874</v>
      </c>
      <c r="F461" s="90" t="s">
        <v>874</v>
      </c>
    </row>
    <row r="462" spans="1:27">
      <c r="B462" s="88">
        <v>548</v>
      </c>
      <c r="D462" s="90" t="s">
        <v>305</v>
      </c>
      <c r="E462" s="90" t="s">
        <v>875</v>
      </c>
      <c r="F462" s="90" t="s">
        <v>875</v>
      </c>
    </row>
    <row r="463" spans="1:27" ht="24">
      <c r="B463" s="88">
        <v>549</v>
      </c>
      <c r="D463" s="90" t="s">
        <v>1274</v>
      </c>
      <c r="E463" s="90" t="s">
        <v>1275</v>
      </c>
      <c r="F463" s="90" t="s">
        <v>1275</v>
      </c>
    </row>
    <row r="464" spans="1:27">
      <c r="B464" s="88">
        <v>550</v>
      </c>
      <c r="D464" s="90" t="s">
        <v>1276</v>
      </c>
      <c r="E464" s="90" t="s">
        <v>1277</v>
      </c>
      <c r="F464" s="90" t="s">
        <v>1277</v>
      </c>
    </row>
    <row r="465" spans="2:6" ht="24">
      <c r="B465" s="88">
        <v>551</v>
      </c>
      <c r="D465" s="90" t="s">
        <v>306</v>
      </c>
      <c r="E465" s="90" t="s">
        <v>876</v>
      </c>
      <c r="F465" s="90" t="s">
        <v>876</v>
      </c>
    </row>
    <row r="466" spans="2:6">
      <c r="B466" s="88">
        <v>552</v>
      </c>
      <c r="D466" s="90" t="s">
        <v>477</v>
      </c>
      <c r="E466" s="90" t="s">
        <v>877</v>
      </c>
      <c r="F466" s="90" t="s">
        <v>877</v>
      </c>
    </row>
    <row r="467" spans="2:6" ht="24">
      <c r="B467" s="88">
        <v>553</v>
      </c>
      <c r="D467" s="90" t="s">
        <v>307</v>
      </c>
      <c r="E467" s="90" t="s">
        <v>878</v>
      </c>
      <c r="F467" s="90" t="s">
        <v>878</v>
      </c>
    </row>
    <row r="468" spans="2:6" ht="24">
      <c r="B468" s="88">
        <v>554</v>
      </c>
      <c r="D468" s="90" t="s">
        <v>478</v>
      </c>
      <c r="E468" s="90" t="s">
        <v>879</v>
      </c>
      <c r="F468" s="90" t="s">
        <v>879</v>
      </c>
    </row>
    <row r="469" spans="2:6" ht="24">
      <c r="B469" s="88">
        <v>555</v>
      </c>
      <c r="D469" s="90" t="s">
        <v>308</v>
      </c>
      <c r="E469" s="90" t="s">
        <v>880</v>
      </c>
      <c r="F469" s="90" t="s">
        <v>880</v>
      </c>
    </row>
    <row r="470" spans="2:6">
      <c r="B470" s="88">
        <v>556</v>
      </c>
      <c r="D470" s="90" t="s">
        <v>309</v>
      </c>
      <c r="E470" s="90" t="s">
        <v>881</v>
      </c>
      <c r="F470" s="90" t="s">
        <v>881</v>
      </c>
    </row>
    <row r="471" spans="2:6">
      <c r="B471" s="88">
        <v>557</v>
      </c>
      <c r="C471" s="89" t="s">
        <v>998</v>
      </c>
      <c r="D471" s="90" t="s">
        <v>995</v>
      </c>
      <c r="E471" s="90" t="s">
        <v>996</v>
      </c>
      <c r="F471" s="90" t="s">
        <v>996</v>
      </c>
    </row>
    <row r="472" spans="2:6" ht="24">
      <c r="B472" s="88">
        <v>558</v>
      </c>
      <c r="C472" s="89" t="s">
        <v>998</v>
      </c>
      <c r="D472" s="90" t="s">
        <v>992</v>
      </c>
      <c r="E472" s="90" t="s">
        <v>997</v>
      </c>
      <c r="F472" s="90" t="s">
        <v>997</v>
      </c>
    </row>
    <row r="473" spans="2:6">
      <c r="B473" s="88">
        <v>559</v>
      </c>
      <c r="D473" s="90" t="s">
        <v>310</v>
      </c>
      <c r="E473" s="90" t="s">
        <v>882</v>
      </c>
      <c r="F473" s="90" t="s">
        <v>882</v>
      </c>
    </row>
    <row r="474" spans="2:6">
      <c r="B474" s="88">
        <v>560</v>
      </c>
      <c r="D474" s="90" t="s">
        <v>311</v>
      </c>
      <c r="E474" s="90" t="s">
        <v>883</v>
      </c>
      <c r="F474" s="90" t="s">
        <v>883</v>
      </c>
    </row>
    <row r="475" spans="2:6" ht="36">
      <c r="B475" s="88">
        <v>561</v>
      </c>
      <c r="D475" s="90" t="s">
        <v>378</v>
      </c>
      <c r="E475" s="90" t="s">
        <v>884</v>
      </c>
      <c r="F475" s="90" t="s">
        <v>884</v>
      </c>
    </row>
    <row r="476" spans="2:6">
      <c r="B476" s="88">
        <v>562</v>
      </c>
      <c r="D476" s="90" t="s">
        <v>312</v>
      </c>
      <c r="E476" s="90" t="s">
        <v>885</v>
      </c>
      <c r="F476" s="90" t="s">
        <v>885</v>
      </c>
    </row>
    <row r="477" spans="2:6">
      <c r="B477" s="88">
        <v>563</v>
      </c>
      <c r="D477" s="90" t="s">
        <v>313</v>
      </c>
      <c r="E477" s="90" t="s">
        <v>886</v>
      </c>
      <c r="F477" s="90" t="s">
        <v>886</v>
      </c>
    </row>
    <row r="478" spans="2:6">
      <c r="B478" s="88">
        <v>564</v>
      </c>
      <c r="D478" s="90" t="s">
        <v>314</v>
      </c>
      <c r="E478" s="90" t="s">
        <v>887</v>
      </c>
      <c r="F478" s="90" t="s">
        <v>887</v>
      </c>
    </row>
    <row r="479" spans="2:6">
      <c r="B479" s="88">
        <v>565</v>
      </c>
      <c r="D479" s="90" t="s">
        <v>315</v>
      </c>
      <c r="E479" s="90" t="s">
        <v>888</v>
      </c>
      <c r="F479" s="90" t="s">
        <v>888</v>
      </c>
    </row>
    <row r="480" spans="2:6">
      <c r="B480" s="88">
        <v>566</v>
      </c>
      <c r="D480" s="90" t="s">
        <v>316</v>
      </c>
      <c r="E480" s="90" t="s">
        <v>889</v>
      </c>
      <c r="F480" s="90" t="s">
        <v>889</v>
      </c>
    </row>
    <row r="481" spans="2:6" ht="36">
      <c r="B481" s="88">
        <v>567</v>
      </c>
      <c r="D481" s="90" t="s">
        <v>317</v>
      </c>
      <c r="E481" s="90" t="s">
        <v>890</v>
      </c>
      <c r="F481" s="90" t="s">
        <v>890</v>
      </c>
    </row>
    <row r="482" spans="2:6" ht="24">
      <c r="B482" s="88">
        <v>568</v>
      </c>
      <c r="D482" s="90" t="s">
        <v>318</v>
      </c>
      <c r="E482" s="90" t="s">
        <v>891</v>
      </c>
      <c r="F482" s="90" t="s">
        <v>891</v>
      </c>
    </row>
    <row r="483" spans="2:6">
      <c r="B483" s="88">
        <v>569</v>
      </c>
      <c r="D483" s="90" t="s">
        <v>319</v>
      </c>
      <c r="E483" s="90" t="s">
        <v>892</v>
      </c>
      <c r="F483" s="90" t="s">
        <v>892</v>
      </c>
    </row>
    <row r="484" spans="2:6">
      <c r="B484" s="88">
        <v>570</v>
      </c>
      <c r="D484" s="90" t="s">
        <v>320</v>
      </c>
      <c r="E484" s="90" t="s">
        <v>893</v>
      </c>
      <c r="F484" s="90" t="s">
        <v>893</v>
      </c>
    </row>
    <row r="485" spans="2:6" ht="24">
      <c r="B485" s="88">
        <v>571</v>
      </c>
      <c r="D485" s="90" t="s">
        <v>479</v>
      </c>
      <c r="E485" s="90" t="s">
        <v>894</v>
      </c>
      <c r="F485" s="90" t="s">
        <v>894</v>
      </c>
    </row>
    <row r="486" spans="2:6">
      <c r="B486" s="88">
        <v>572</v>
      </c>
      <c r="D486" s="90" t="s">
        <v>321</v>
      </c>
      <c r="E486" s="90" t="s">
        <v>895</v>
      </c>
      <c r="F486" s="90" t="s">
        <v>895</v>
      </c>
    </row>
    <row r="487" spans="2:6">
      <c r="B487" s="88">
        <v>573</v>
      </c>
      <c r="D487" s="90" t="s">
        <v>322</v>
      </c>
      <c r="E487" s="90" t="s">
        <v>896</v>
      </c>
      <c r="F487" s="90" t="s">
        <v>896</v>
      </c>
    </row>
    <row r="488" spans="2:6">
      <c r="B488" s="88">
        <v>574</v>
      </c>
      <c r="D488" s="90" t="s">
        <v>1316</v>
      </c>
      <c r="E488" s="90" t="s">
        <v>1317</v>
      </c>
      <c r="F488" s="90" t="s">
        <v>1317</v>
      </c>
    </row>
    <row r="489" spans="2:6">
      <c r="B489" s="88">
        <v>575</v>
      </c>
      <c r="D489" s="90" t="s">
        <v>1284</v>
      </c>
      <c r="E489" s="90" t="s">
        <v>1285</v>
      </c>
      <c r="F489" s="90" t="s">
        <v>1285</v>
      </c>
    </row>
    <row r="490" spans="2:6">
      <c r="B490" s="88">
        <v>576</v>
      </c>
      <c r="D490" s="90" t="s">
        <v>323</v>
      </c>
      <c r="E490" s="90" t="s">
        <v>897</v>
      </c>
      <c r="F490" s="90" t="s">
        <v>897</v>
      </c>
    </row>
    <row r="491" spans="2:6">
      <c r="B491" s="88">
        <v>577</v>
      </c>
      <c r="D491" s="90" t="s">
        <v>480</v>
      </c>
      <c r="E491" s="90" t="s">
        <v>898</v>
      </c>
      <c r="F491" s="90" t="s">
        <v>898</v>
      </c>
    </row>
    <row r="492" spans="2:6" ht="36">
      <c r="B492" s="88">
        <v>578</v>
      </c>
      <c r="D492" s="90" t="s">
        <v>481</v>
      </c>
      <c r="E492" s="90" t="s">
        <v>899</v>
      </c>
      <c r="F492" s="90" t="s">
        <v>899</v>
      </c>
    </row>
    <row r="493" spans="2:6">
      <c r="B493" s="88">
        <v>579</v>
      </c>
      <c r="D493" s="90" t="s">
        <v>324</v>
      </c>
      <c r="E493" s="90" t="s">
        <v>900</v>
      </c>
      <c r="F493" s="90" t="s">
        <v>900</v>
      </c>
    </row>
    <row r="494" spans="2:6">
      <c r="B494" s="88">
        <v>580</v>
      </c>
      <c r="D494" s="90" t="s">
        <v>325</v>
      </c>
      <c r="E494" s="90" t="s">
        <v>901</v>
      </c>
      <c r="F494" s="90" t="s">
        <v>901</v>
      </c>
    </row>
    <row r="495" spans="2:6">
      <c r="B495" s="88">
        <v>581</v>
      </c>
      <c r="C495" s="89" t="s">
        <v>585</v>
      </c>
      <c r="D495" s="87" t="s">
        <v>580</v>
      </c>
      <c r="E495" s="216" t="s">
        <v>571</v>
      </c>
      <c r="F495" s="216" t="s">
        <v>571</v>
      </c>
    </row>
    <row r="496" spans="2:6">
      <c r="B496" s="88">
        <v>582</v>
      </c>
      <c r="C496" s="89" t="s">
        <v>585</v>
      </c>
      <c r="D496" s="90" t="s">
        <v>578</v>
      </c>
      <c r="E496" s="216" t="s">
        <v>569</v>
      </c>
      <c r="F496" s="216" t="s">
        <v>569</v>
      </c>
    </row>
    <row r="497" spans="1:6">
      <c r="B497" s="88">
        <v>583</v>
      </c>
      <c r="D497" s="90" t="s">
        <v>326</v>
      </c>
      <c r="E497" s="90" t="s">
        <v>902</v>
      </c>
      <c r="F497" s="90" t="s">
        <v>902</v>
      </c>
    </row>
    <row r="498" spans="1:6" ht="36">
      <c r="B498" s="88">
        <v>584</v>
      </c>
      <c r="D498" s="90" t="s">
        <v>327</v>
      </c>
      <c r="E498" s="90" t="s">
        <v>903</v>
      </c>
      <c r="F498" s="90" t="s">
        <v>903</v>
      </c>
    </row>
    <row r="499" spans="1:6">
      <c r="B499" s="88">
        <v>585</v>
      </c>
      <c r="D499" s="90" t="s">
        <v>328</v>
      </c>
      <c r="E499" s="90" t="s">
        <v>904</v>
      </c>
      <c r="F499" s="90" t="s">
        <v>904</v>
      </c>
    </row>
    <row r="500" spans="1:6">
      <c r="A500" s="213"/>
      <c r="B500" s="88">
        <v>586</v>
      </c>
      <c r="C500" s="214" t="s">
        <v>490</v>
      </c>
      <c r="D500" s="212" t="s">
        <v>496</v>
      </c>
      <c r="E500" s="212" t="s">
        <v>905</v>
      </c>
      <c r="F500" s="212" t="s">
        <v>905</v>
      </c>
    </row>
    <row r="501" spans="1:6">
      <c r="A501" s="213"/>
      <c r="B501" s="88">
        <v>587</v>
      </c>
      <c r="C501" s="214" t="s">
        <v>490</v>
      </c>
      <c r="D501" s="212" t="s">
        <v>525</v>
      </c>
      <c r="E501" s="212" t="s">
        <v>906</v>
      </c>
      <c r="F501" s="212" t="s">
        <v>906</v>
      </c>
    </row>
    <row r="502" spans="1:6">
      <c r="B502" s="88">
        <v>588</v>
      </c>
      <c r="D502" s="90" t="s">
        <v>329</v>
      </c>
      <c r="E502" s="212" t="s">
        <v>907</v>
      </c>
      <c r="F502" s="212" t="s">
        <v>907</v>
      </c>
    </row>
    <row r="503" spans="1:6">
      <c r="B503" s="88">
        <v>589</v>
      </c>
      <c r="D503" s="90" t="s">
        <v>330</v>
      </c>
      <c r="E503" s="90" t="s">
        <v>908</v>
      </c>
      <c r="F503" s="90" t="s">
        <v>908</v>
      </c>
    </row>
    <row r="504" spans="1:6">
      <c r="B504" s="88">
        <v>590</v>
      </c>
      <c r="D504" s="90" t="s">
        <v>331</v>
      </c>
      <c r="E504" s="90" t="s">
        <v>909</v>
      </c>
      <c r="F504" s="90" t="s">
        <v>909</v>
      </c>
    </row>
    <row r="505" spans="1:6" ht="24">
      <c r="B505" s="88">
        <v>591</v>
      </c>
      <c r="D505" s="90" t="s">
        <v>332</v>
      </c>
      <c r="E505" s="90" t="s">
        <v>910</v>
      </c>
      <c r="F505" s="90" t="s">
        <v>910</v>
      </c>
    </row>
    <row r="506" spans="1:6">
      <c r="B506" s="88">
        <v>592</v>
      </c>
      <c r="D506" s="90" t="s">
        <v>333</v>
      </c>
      <c r="E506" s="90" t="s">
        <v>911</v>
      </c>
      <c r="F506" s="90" t="s">
        <v>911</v>
      </c>
    </row>
    <row r="507" spans="1:6" ht="36">
      <c r="B507" s="88">
        <v>593</v>
      </c>
      <c r="D507" s="90" t="s">
        <v>334</v>
      </c>
      <c r="E507" s="90" t="s">
        <v>912</v>
      </c>
      <c r="F507" s="90" t="s">
        <v>912</v>
      </c>
    </row>
    <row r="508" spans="1:6">
      <c r="B508" s="88">
        <v>594</v>
      </c>
      <c r="D508" s="90" t="s">
        <v>335</v>
      </c>
      <c r="E508" s="90" t="s">
        <v>1014</v>
      </c>
      <c r="F508" s="90" t="s">
        <v>1014</v>
      </c>
    </row>
    <row r="509" spans="1:6">
      <c r="B509" s="88">
        <v>595</v>
      </c>
      <c r="D509" s="90" t="s">
        <v>336</v>
      </c>
      <c r="E509" s="90" t="s">
        <v>913</v>
      </c>
      <c r="F509" s="90" t="s">
        <v>913</v>
      </c>
    </row>
    <row r="510" spans="1:6">
      <c r="B510" s="88">
        <v>596</v>
      </c>
      <c r="D510" s="90" t="s">
        <v>337</v>
      </c>
      <c r="E510" s="90" t="s">
        <v>914</v>
      </c>
      <c r="F510" s="90" t="s">
        <v>914</v>
      </c>
    </row>
    <row r="511" spans="1:6">
      <c r="B511" s="88">
        <v>597</v>
      </c>
      <c r="D511" s="90" t="s">
        <v>338</v>
      </c>
      <c r="E511" s="90" t="s">
        <v>915</v>
      </c>
      <c r="F511" s="90" t="s">
        <v>915</v>
      </c>
    </row>
    <row r="512" spans="1:6">
      <c r="B512" s="88">
        <v>598</v>
      </c>
      <c r="D512" s="90" t="s">
        <v>339</v>
      </c>
      <c r="E512" s="90" t="s">
        <v>916</v>
      </c>
      <c r="F512" s="90" t="s">
        <v>916</v>
      </c>
    </row>
    <row r="513" spans="2:6">
      <c r="B513" s="88">
        <v>599</v>
      </c>
      <c r="D513" s="90" t="s">
        <v>340</v>
      </c>
      <c r="E513" s="90" t="s">
        <v>917</v>
      </c>
      <c r="F513" s="90" t="s">
        <v>917</v>
      </c>
    </row>
    <row r="514" spans="2:6">
      <c r="B514" s="88">
        <v>600</v>
      </c>
      <c r="D514" s="90" t="s">
        <v>341</v>
      </c>
      <c r="E514" s="90" t="s">
        <v>341</v>
      </c>
      <c r="F514" s="90" t="s">
        <v>341</v>
      </c>
    </row>
    <row r="515" spans="2:6">
      <c r="B515" s="88">
        <v>601</v>
      </c>
      <c r="D515" s="90" t="s">
        <v>482</v>
      </c>
      <c r="E515" s="90" t="s">
        <v>918</v>
      </c>
      <c r="F515" s="90" t="s">
        <v>918</v>
      </c>
    </row>
    <row r="516" spans="2:6" ht="24">
      <c r="B516" s="88">
        <v>602</v>
      </c>
      <c r="D516" s="90" t="s">
        <v>342</v>
      </c>
      <c r="E516" s="90" t="s">
        <v>919</v>
      </c>
      <c r="F516" s="90" t="s">
        <v>919</v>
      </c>
    </row>
    <row r="517" spans="2:6">
      <c r="B517" s="88">
        <v>603</v>
      </c>
      <c r="D517" s="90" t="s">
        <v>343</v>
      </c>
      <c r="E517" s="90" t="s">
        <v>343</v>
      </c>
      <c r="F517" s="90" t="s">
        <v>343</v>
      </c>
    </row>
    <row r="518" spans="2:6">
      <c r="B518" s="88">
        <v>604</v>
      </c>
      <c r="D518" s="90" t="s">
        <v>1244</v>
      </c>
      <c r="E518" s="90" t="s">
        <v>1246</v>
      </c>
      <c r="F518" s="90" t="s">
        <v>1246</v>
      </c>
    </row>
    <row r="519" spans="2:6">
      <c r="B519" s="88">
        <v>605</v>
      </c>
      <c r="D519" s="90" t="s">
        <v>1243</v>
      </c>
      <c r="E519" s="90" t="s">
        <v>1245</v>
      </c>
      <c r="F519" s="90" t="s">
        <v>1245</v>
      </c>
    </row>
    <row r="520" spans="2:6">
      <c r="B520" s="88">
        <v>606</v>
      </c>
      <c r="D520" s="90" t="s">
        <v>483</v>
      </c>
      <c r="F520" s="90"/>
    </row>
    <row r="521" spans="2:6">
      <c r="B521" s="88">
        <v>607</v>
      </c>
      <c r="D521" s="90" t="s">
        <v>344</v>
      </c>
      <c r="E521" s="90" t="s">
        <v>920</v>
      </c>
      <c r="F521" s="90" t="s">
        <v>920</v>
      </c>
    </row>
    <row r="522" spans="2:6">
      <c r="B522" s="88">
        <v>608</v>
      </c>
      <c r="C522" s="89" t="s">
        <v>998</v>
      </c>
      <c r="D522" s="90" t="s">
        <v>1002</v>
      </c>
      <c r="E522" s="90" t="s">
        <v>1003</v>
      </c>
      <c r="F522" s="90" t="s">
        <v>1003</v>
      </c>
    </row>
    <row r="523" spans="2:6">
      <c r="B523" s="88">
        <v>609</v>
      </c>
      <c r="D523" s="90" t="s">
        <v>484</v>
      </c>
      <c r="E523" s="90" t="s">
        <v>921</v>
      </c>
      <c r="F523" s="90" t="s">
        <v>921</v>
      </c>
    </row>
    <row r="524" spans="2:6">
      <c r="B524" s="88">
        <v>610</v>
      </c>
      <c r="D524" s="90" t="s">
        <v>485</v>
      </c>
      <c r="E524" s="90" t="s">
        <v>922</v>
      </c>
      <c r="F524" s="90" t="s">
        <v>922</v>
      </c>
    </row>
    <row r="525" spans="2:6">
      <c r="B525" s="88">
        <v>611</v>
      </c>
      <c r="D525" s="90" t="s">
        <v>486</v>
      </c>
      <c r="E525" s="90" t="s">
        <v>921</v>
      </c>
      <c r="F525" s="90" t="s">
        <v>921</v>
      </c>
    </row>
    <row r="526" spans="2:6">
      <c r="B526" s="88">
        <v>612</v>
      </c>
      <c r="D526" s="90" t="s">
        <v>345</v>
      </c>
      <c r="E526" s="90" t="s">
        <v>532</v>
      </c>
      <c r="F526" s="90" t="s">
        <v>532</v>
      </c>
    </row>
    <row r="527" spans="2:6">
      <c r="B527" s="88">
        <v>613</v>
      </c>
      <c r="D527" s="90" t="s">
        <v>346</v>
      </c>
      <c r="E527" s="90" t="s">
        <v>923</v>
      </c>
      <c r="F527" s="90" t="s">
        <v>923</v>
      </c>
    </row>
    <row r="528" spans="2:6">
      <c r="B528" s="88">
        <v>614</v>
      </c>
      <c r="D528" s="90" t="s">
        <v>347</v>
      </c>
      <c r="E528" s="90" t="s">
        <v>924</v>
      </c>
      <c r="F528" s="90" t="s">
        <v>924</v>
      </c>
    </row>
    <row r="529" spans="1:6">
      <c r="B529" s="88">
        <v>615</v>
      </c>
      <c r="D529" s="90" t="s">
        <v>1410</v>
      </c>
      <c r="E529" s="90" t="s">
        <v>1412</v>
      </c>
      <c r="F529" s="90" t="s">
        <v>1412</v>
      </c>
    </row>
    <row r="530" spans="1:6">
      <c r="B530" s="88">
        <v>616</v>
      </c>
      <c r="D530" s="90" t="s">
        <v>1409</v>
      </c>
      <c r="E530" s="90" t="s">
        <v>1411</v>
      </c>
      <c r="F530" s="90" t="s">
        <v>1411</v>
      </c>
    </row>
    <row r="531" spans="1:6" ht="24">
      <c r="B531" s="88">
        <v>617</v>
      </c>
      <c r="C531" s="89" t="s">
        <v>1145</v>
      </c>
      <c r="D531" s="90" t="s">
        <v>1186</v>
      </c>
      <c r="E531" s="90" t="s">
        <v>1149</v>
      </c>
      <c r="F531" s="90" t="s">
        <v>1149</v>
      </c>
    </row>
    <row r="532" spans="1:6" ht="36">
      <c r="B532" s="88">
        <v>618</v>
      </c>
      <c r="C532" s="89" t="s">
        <v>1145</v>
      </c>
      <c r="D532" s="90" t="s">
        <v>1202</v>
      </c>
      <c r="E532" s="90" t="s">
        <v>1166</v>
      </c>
      <c r="F532" s="90" t="s">
        <v>1166</v>
      </c>
    </row>
    <row r="533" spans="1:6">
      <c r="B533" s="88">
        <v>619</v>
      </c>
      <c r="D533" s="90" t="s">
        <v>348</v>
      </c>
      <c r="E533" s="90" t="s">
        <v>925</v>
      </c>
      <c r="F533" s="90" t="s">
        <v>925</v>
      </c>
    </row>
    <row r="534" spans="1:6">
      <c r="B534" s="88">
        <v>620</v>
      </c>
      <c r="D534" s="90" t="s">
        <v>1250</v>
      </c>
      <c r="E534" s="90" t="s">
        <v>1251</v>
      </c>
      <c r="F534" s="90" t="s">
        <v>1251</v>
      </c>
    </row>
    <row r="535" spans="1:6">
      <c r="B535" s="88">
        <v>621</v>
      </c>
      <c r="D535" s="90" t="s">
        <v>1094</v>
      </c>
      <c r="E535" s="90" t="s">
        <v>1094</v>
      </c>
      <c r="F535" s="90" t="s">
        <v>1094</v>
      </c>
    </row>
    <row r="536" spans="1:6">
      <c r="B536" s="88">
        <v>622</v>
      </c>
      <c r="D536" s="90" t="s">
        <v>349</v>
      </c>
      <c r="F536" s="90"/>
    </row>
    <row r="537" spans="1:6">
      <c r="B537" s="88">
        <v>623</v>
      </c>
      <c r="D537" s="90" t="s">
        <v>350</v>
      </c>
      <c r="F537" s="90"/>
    </row>
    <row r="538" spans="1:6">
      <c r="B538" s="88">
        <v>624</v>
      </c>
      <c r="D538" s="90" t="s">
        <v>1092</v>
      </c>
      <c r="E538" s="90" t="s">
        <v>1093</v>
      </c>
      <c r="F538" s="90" t="s">
        <v>1093</v>
      </c>
    </row>
    <row r="539" spans="1:6">
      <c r="B539" s="88">
        <v>625</v>
      </c>
      <c r="D539" s="90" t="s">
        <v>351</v>
      </c>
      <c r="E539" s="90" t="s">
        <v>926</v>
      </c>
      <c r="F539" s="90" t="s">
        <v>926</v>
      </c>
    </row>
    <row r="540" spans="1:6">
      <c r="B540" s="88">
        <v>626</v>
      </c>
      <c r="D540" s="90" t="s">
        <v>487</v>
      </c>
      <c r="E540" s="90" t="s">
        <v>927</v>
      </c>
      <c r="F540" s="90" t="s">
        <v>927</v>
      </c>
    </row>
    <row r="541" spans="1:6">
      <c r="B541" s="88">
        <v>627</v>
      </c>
      <c r="D541" s="90" t="s">
        <v>352</v>
      </c>
      <c r="E541" s="90" t="s">
        <v>928</v>
      </c>
      <c r="F541" s="90" t="s">
        <v>928</v>
      </c>
    </row>
    <row r="542" spans="1:6">
      <c r="B542" s="88">
        <v>628</v>
      </c>
      <c r="D542" s="90" t="s">
        <v>415</v>
      </c>
      <c r="E542" s="90" t="s">
        <v>929</v>
      </c>
      <c r="F542" s="90" t="s">
        <v>929</v>
      </c>
    </row>
    <row r="543" spans="1:6">
      <c r="B543" s="88">
        <v>629</v>
      </c>
      <c r="D543" s="90" t="s">
        <v>353</v>
      </c>
      <c r="E543" s="90" t="s">
        <v>928</v>
      </c>
      <c r="F543" s="90" t="s">
        <v>928</v>
      </c>
    </row>
    <row r="544" spans="1:6" ht="24">
      <c r="A544" s="212"/>
      <c r="B544" s="88">
        <v>630</v>
      </c>
      <c r="C544" s="212"/>
      <c r="D544" s="212" t="s">
        <v>526</v>
      </c>
      <c r="E544" s="212" t="s">
        <v>930</v>
      </c>
      <c r="F544" s="212" t="s">
        <v>930</v>
      </c>
    </row>
    <row r="545" spans="2:6">
      <c r="B545" s="88">
        <v>631</v>
      </c>
      <c r="C545" s="89" t="s">
        <v>1145</v>
      </c>
      <c r="D545" s="90" t="s">
        <v>1183</v>
      </c>
      <c r="E545" s="90" t="s">
        <v>1144</v>
      </c>
      <c r="F545" s="90" t="s">
        <v>1144</v>
      </c>
    </row>
    <row r="546" spans="2:6">
      <c r="B546" s="88">
        <v>632</v>
      </c>
      <c r="C546" s="89" t="s">
        <v>1145</v>
      </c>
      <c r="D546" s="90" t="s">
        <v>1558</v>
      </c>
      <c r="E546" s="90" t="s">
        <v>1559</v>
      </c>
      <c r="F546" s="90" t="s">
        <v>1559</v>
      </c>
    </row>
    <row r="547" spans="2:6">
      <c r="B547" s="88">
        <v>633</v>
      </c>
      <c r="D547" s="90" t="s">
        <v>354</v>
      </c>
      <c r="E547" s="90" t="s">
        <v>354</v>
      </c>
      <c r="F547" s="90" t="s">
        <v>354</v>
      </c>
    </row>
    <row r="548" spans="2:6">
      <c r="B548" s="88">
        <v>634</v>
      </c>
      <c r="D548" s="90" t="s">
        <v>355</v>
      </c>
      <c r="E548" s="90" t="s">
        <v>931</v>
      </c>
      <c r="F548" s="90" t="s">
        <v>931</v>
      </c>
    </row>
    <row r="549" spans="2:6">
      <c r="B549" s="88">
        <v>635</v>
      </c>
      <c r="D549" s="90" t="s">
        <v>356</v>
      </c>
      <c r="E549" s="90" t="s">
        <v>932</v>
      </c>
      <c r="F549" s="90" t="s">
        <v>932</v>
      </c>
    </row>
    <row r="550" spans="2:6">
      <c r="B550" s="88">
        <v>636</v>
      </c>
      <c r="D550" s="90" t="s">
        <v>488</v>
      </c>
      <c r="E550" s="90" t="s">
        <v>933</v>
      </c>
      <c r="F550" s="90" t="s">
        <v>933</v>
      </c>
    </row>
    <row r="551" spans="2:6" ht="24">
      <c r="B551" s="88">
        <v>637</v>
      </c>
      <c r="C551" s="89" t="s">
        <v>1145</v>
      </c>
      <c r="D551" s="90" t="s">
        <v>1204</v>
      </c>
      <c r="E551" s="90" t="s">
        <v>1203</v>
      </c>
      <c r="F551" s="90" t="s">
        <v>1203</v>
      </c>
    </row>
    <row r="552" spans="2:6">
      <c r="B552" s="88">
        <v>638</v>
      </c>
      <c r="D552" s="90" t="s">
        <v>357</v>
      </c>
      <c r="E552" s="90" t="s">
        <v>934</v>
      </c>
      <c r="F552" s="90" t="s">
        <v>934</v>
      </c>
    </row>
    <row r="553" spans="2:6" ht="36">
      <c r="B553" s="88">
        <v>639</v>
      </c>
      <c r="C553" s="89" t="s">
        <v>1145</v>
      </c>
      <c r="D553" s="90" t="s">
        <v>1213</v>
      </c>
      <c r="E553" s="90" t="s">
        <v>1173</v>
      </c>
      <c r="F553" s="90" t="s">
        <v>1173</v>
      </c>
    </row>
    <row r="554" spans="2:6">
      <c r="B554" s="88">
        <v>640</v>
      </c>
      <c r="D554" s="90" t="s">
        <v>358</v>
      </c>
      <c r="E554" s="90" t="s">
        <v>935</v>
      </c>
      <c r="F554" s="90" t="s">
        <v>935</v>
      </c>
    </row>
    <row r="555" spans="2:6">
      <c r="B555" s="88">
        <v>641</v>
      </c>
      <c r="D555" s="90" t="s">
        <v>359</v>
      </c>
      <c r="E555" s="90" t="s">
        <v>936</v>
      </c>
      <c r="F555" s="90" t="s">
        <v>936</v>
      </c>
    </row>
    <row r="556" spans="2:6">
      <c r="B556" s="88">
        <v>642</v>
      </c>
      <c r="D556" s="90" t="s">
        <v>489</v>
      </c>
      <c r="E556" s="90" t="s">
        <v>937</v>
      </c>
      <c r="F556" s="90" t="s">
        <v>937</v>
      </c>
    </row>
    <row r="557" spans="2:6" ht="24">
      <c r="B557" s="88">
        <v>643</v>
      </c>
      <c r="D557" s="90" t="s">
        <v>360</v>
      </c>
      <c r="E557" s="90" t="s">
        <v>938</v>
      </c>
      <c r="F557" s="90" t="s">
        <v>938</v>
      </c>
    </row>
    <row r="558" spans="2:6">
      <c r="B558" s="88">
        <v>644</v>
      </c>
      <c r="D558" s="90" t="s">
        <v>361</v>
      </c>
      <c r="E558" s="90" t="s">
        <v>936</v>
      </c>
      <c r="F558" s="90" t="s">
        <v>936</v>
      </c>
    </row>
    <row r="559" spans="2:6">
      <c r="B559" s="88">
        <v>645</v>
      </c>
      <c r="D559" s="90" t="s">
        <v>362</v>
      </c>
      <c r="E559" s="90" t="s">
        <v>939</v>
      </c>
      <c r="F559" s="90" t="s">
        <v>939</v>
      </c>
    </row>
    <row r="560" spans="2:6">
      <c r="B560" s="88">
        <v>646</v>
      </c>
      <c r="D560" s="90" t="s">
        <v>363</v>
      </c>
      <c r="E560" s="90" t="s">
        <v>940</v>
      </c>
      <c r="F560" s="90" t="s">
        <v>940</v>
      </c>
    </row>
    <row r="561" spans="2:27">
      <c r="B561" s="88">
        <v>647</v>
      </c>
      <c r="D561" s="90" t="s">
        <v>364</v>
      </c>
      <c r="E561" s="90" t="s">
        <v>941</v>
      </c>
      <c r="F561" s="90" t="s">
        <v>941</v>
      </c>
    </row>
    <row r="562" spans="2:27">
      <c r="B562" s="88">
        <v>648</v>
      </c>
      <c r="D562" s="90" t="s">
        <v>365</v>
      </c>
      <c r="E562" s="90" t="s">
        <v>942</v>
      </c>
      <c r="F562" s="90" t="s">
        <v>942</v>
      </c>
      <c r="G562" s="212"/>
      <c r="H562" s="212"/>
      <c r="I562" s="212"/>
      <c r="J562" s="212"/>
      <c r="K562" s="212"/>
      <c r="L562" s="212"/>
      <c r="M562" s="212"/>
      <c r="N562" s="212"/>
      <c r="O562" s="212"/>
      <c r="P562" s="212"/>
      <c r="Q562" s="212"/>
      <c r="R562" s="212"/>
      <c r="S562" s="212"/>
      <c r="T562" s="212"/>
      <c r="U562" s="212"/>
      <c r="V562" s="212"/>
      <c r="W562" s="212"/>
      <c r="X562" s="212"/>
      <c r="Y562" s="212"/>
      <c r="Z562" s="212"/>
      <c r="AA562" s="212"/>
    </row>
    <row r="563" spans="2:27" ht="24">
      <c r="B563" s="88">
        <v>649</v>
      </c>
      <c r="D563" s="90" t="s">
        <v>366</v>
      </c>
      <c r="E563" s="90" t="s">
        <v>943</v>
      </c>
      <c r="F563" s="90" t="s">
        <v>943</v>
      </c>
      <c r="G563" s="212"/>
      <c r="H563" s="212"/>
      <c r="I563" s="212"/>
      <c r="J563" s="212"/>
      <c r="K563" s="212"/>
      <c r="L563" s="212"/>
      <c r="M563" s="212"/>
      <c r="N563" s="212"/>
      <c r="O563" s="212"/>
      <c r="P563" s="212"/>
      <c r="Q563" s="212"/>
      <c r="R563" s="212"/>
      <c r="S563" s="212"/>
      <c r="T563" s="212"/>
      <c r="U563" s="212"/>
      <c r="V563" s="212"/>
      <c r="W563" s="212"/>
      <c r="X563" s="212"/>
      <c r="Y563" s="212"/>
      <c r="Z563" s="212"/>
      <c r="AA563" s="212"/>
    </row>
    <row r="564" spans="2:27">
      <c r="B564" s="88">
        <v>650</v>
      </c>
      <c r="D564" s="90" t="s">
        <v>367</v>
      </c>
      <c r="E564" s="90" t="s">
        <v>935</v>
      </c>
      <c r="F564" s="90" t="s">
        <v>935</v>
      </c>
      <c r="G564" s="213"/>
      <c r="H564" s="213"/>
      <c r="I564" s="213"/>
      <c r="J564" s="213"/>
      <c r="K564" s="213"/>
      <c r="L564" s="213"/>
      <c r="M564" s="213"/>
      <c r="N564" s="213"/>
      <c r="O564" s="213"/>
      <c r="P564" s="213"/>
      <c r="Q564" s="213"/>
      <c r="R564" s="213"/>
      <c r="S564" s="213"/>
      <c r="T564" s="213"/>
      <c r="U564" s="213"/>
      <c r="V564" s="213"/>
      <c r="W564" s="213"/>
      <c r="X564" s="213"/>
      <c r="Y564" s="213"/>
      <c r="Z564" s="213"/>
      <c r="AA564" s="213"/>
    </row>
    <row r="565" spans="2:27" ht="24">
      <c r="B565" s="88">
        <v>651</v>
      </c>
      <c r="C565" s="89" t="s">
        <v>1145</v>
      </c>
      <c r="D565" s="90" t="s">
        <v>1205</v>
      </c>
      <c r="E565" s="90" t="s">
        <v>1167</v>
      </c>
      <c r="F565" s="90" t="s">
        <v>1167</v>
      </c>
    </row>
    <row r="566" spans="2:27" ht="24">
      <c r="B566" s="88">
        <v>652</v>
      </c>
      <c r="D566" s="90" t="s">
        <v>368</v>
      </c>
      <c r="E566" s="90" t="s">
        <v>944</v>
      </c>
      <c r="F566" s="90" t="s">
        <v>944</v>
      </c>
      <c r="G566" s="213"/>
      <c r="H566" s="213"/>
      <c r="I566" s="213"/>
      <c r="J566" s="213"/>
      <c r="K566" s="213"/>
      <c r="L566" s="213"/>
      <c r="M566" s="213"/>
      <c r="N566" s="213"/>
      <c r="O566" s="213"/>
      <c r="P566" s="213"/>
      <c r="Q566" s="213"/>
      <c r="R566" s="213"/>
      <c r="S566" s="213"/>
      <c r="T566" s="213"/>
      <c r="U566" s="213"/>
      <c r="V566" s="213"/>
      <c r="W566" s="213"/>
      <c r="X566" s="213"/>
      <c r="Y566" s="213"/>
      <c r="Z566" s="213"/>
      <c r="AA566" s="213"/>
    </row>
    <row r="567" spans="2:27" ht="36">
      <c r="B567" s="88">
        <v>653</v>
      </c>
      <c r="D567" s="90" t="s">
        <v>369</v>
      </c>
      <c r="E567" s="90" t="s">
        <v>945</v>
      </c>
      <c r="F567" s="90" t="s">
        <v>945</v>
      </c>
      <c r="G567" s="213"/>
      <c r="H567" s="213"/>
      <c r="I567" s="213"/>
      <c r="J567" s="213"/>
      <c r="K567" s="213"/>
      <c r="L567" s="213"/>
      <c r="M567" s="213"/>
      <c r="N567" s="213"/>
      <c r="O567" s="213"/>
      <c r="P567" s="213"/>
      <c r="Q567" s="213"/>
      <c r="R567" s="213"/>
      <c r="S567" s="213"/>
      <c r="T567" s="213"/>
      <c r="U567" s="213"/>
      <c r="V567" s="213"/>
      <c r="W567" s="213"/>
      <c r="X567" s="213"/>
      <c r="Y567" s="213"/>
      <c r="Z567" s="213"/>
      <c r="AA567" s="213"/>
    </row>
    <row r="568" spans="2:27">
      <c r="B568" s="88">
        <v>654</v>
      </c>
      <c r="D568" s="90" t="s">
        <v>370</v>
      </c>
      <c r="E568" s="90" t="s">
        <v>946</v>
      </c>
      <c r="F568" s="90" t="s">
        <v>946</v>
      </c>
      <c r="G568" s="213"/>
      <c r="H568" s="213"/>
      <c r="I568" s="213"/>
      <c r="J568" s="213"/>
      <c r="K568" s="213"/>
      <c r="L568" s="213"/>
      <c r="M568" s="213"/>
      <c r="N568" s="213"/>
      <c r="O568" s="213"/>
      <c r="P568" s="213"/>
      <c r="Q568" s="213"/>
      <c r="R568" s="213"/>
      <c r="S568" s="213"/>
      <c r="T568" s="213"/>
      <c r="U568" s="213"/>
      <c r="V568" s="213"/>
      <c r="W568" s="213"/>
      <c r="X568" s="213"/>
      <c r="Y568" s="213"/>
      <c r="Z568" s="213"/>
      <c r="AA568" s="213"/>
    </row>
    <row r="569" spans="2:27" ht="36">
      <c r="B569" s="88">
        <v>655</v>
      </c>
      <c r="D569" s="90" t="s">
        <v>371</v>
      </c>
      <c r="E569" s="90" t="s">
        <v>947</v>
      </c>
      <c r="F569" s="90" t="s">
        <v>947</v>
      </c>
      <c r="G569" s="213"/>
      <c r="H569" s="213"/>
      <c r="I569" s="213"/>
      <c r="J569" s="213"/>
      <c r="K569" s="213"/>
      <c r="L569" s="213"/>
      <c r="M569" s="213"/>
      <c r="N569" s="213"/>
      <c r="O569" s="213"/>
      <c r="P569" s="213"/>
      <c r="Q569" s="213"/>
      <c r="R569" s="213"/>
      <c r="S569" s="213"/>
      <c r="T569" s="213"/>
      <c r="U569" s="213"/>
      <c r="V569" s="213"/>
      <c r="W569" s="213"/>
      <c r="X569" s="213"/>
      <c r="Y569" s="213"/>
      <c r="Z569" s="213"/>
      <c r="AA569" s="213"/>
    </row>
    <row r="570" spans="2:27">
      <c r="B570" s="88">
        <v>656</v>
      </c>
      <c r="D570" s="90" t="s">
        <v>372</v>
      </c>
      <c r="E570" s="90" t="s">
        <v>948</v>
      </c>
      <c r="F570" s="90" t="s">
        <v>948</v>
      </c>
      <c r="G570" s="213"/>
      <c r="H570" s="213"/>
      <c r="I570" s="213"/>
      <c r="J570" s="213"/>
      <c r="K570" s="213"/>
      <c r="L570" s="213"/>
      <c r="M570" s="213"/>
      <c r="N570" s="213"/>
      <c r="O570" s="213"/>
      <c r="P570" s="213"/>
      <c r="Q570" s="213"/>
      <c r="R570" s="213"/>
      <c r="S570" s="213"/>
      <c r="T570" s="213"/>
      <c r="U570" s="213"/>
      <c r="V570" s="213"/>
      <c r="W570" s="213"/>
      <c r="X570" s="213"/>
      <c r="Y570" s="213"/>
      <c r="Z570" s="213"/>
      <c r="AA570" s="213"/>
    </row>
    <row r="571" spans="2:27">
      <c r="B571" s="88">
        <v>657</v>
      </c>
      <c r="D571" s="90" t="s">
        <v>373</v>
      </c>
      <c r="E571" s="90" t="s">
        <v>949</v>
      </c>
      <c r="F571" s="90" t="s">
        <v>949</v>
      </c>
      <c r="G571" s="213"/>
      <c r="H571" s="213"/>
      <c r="I571" s="213"/>
      <c r="J571" s="213"/>
      <c r="K571" s="213"/>
      <c r="L571" s="213"/>
      <c r="M571" s="213"/>
      <c r="N571" s="213"/>
      <c r="O571" s="213"/>
      <c r="P571" s="213"/>
      <c r="Q571" s="213"/>
      <c r="R571" s="213"/>
      <c r="S571" s="213"/>
      <c r="T571" s="213"/>
      <c r="U571" s="213"/>
      <c r="V571" s="213"/>
      <c r="W571" s="213"/>
      <c r="X571" s="213"/>
      <c r="Y571" s="213"/>
      <c r="Z571" s="213"/>
      <c r="AA571" s="213"/>
    </row>
    <row r="572" spans="2:27">
      <c r="B572" s="88">
        <v>658</v>
      </c>
      <c r="D572" s="90" t="s">
        <v>374</v>
      </c>
      <c r="E572" s="90" t="s">
        <v>950</v>
      </c>
      <c r="F572" s="90" t="s">
        <v>950</v>
      </c>
      <c r="G572" s="213"/>
      <c r="H572" s="213"/>
      <c r="I572" s="213"/>
      <c r="J572" s="213"/>
      <c r="K572" s="213"/>
      <c r="L572" s="213"/>
      <c r="M572" s="213"/>
      <c r="N572" s="213"/>
      <c r="O572" s="213"/>
      <c r="P572" s="213"/>
      <c r="Q572" s="213"/>
      <c r="R572" s="213"/>
      <c r="S572" s="213"/>
      <c r="T572" s="213"/>
      <c r="U572" s="213"/>
      <c r="V572" s="213"/>
      <c r="W572" s="213"/>
      <c r="X572" s="213"/>
      <c r="Y572" s="213"/>
      <c r="Z572" s="213"/>
      <c r="AA572" s="213"/>
    </row>
    <row r="573" spans="2:27">
      <c r="B573" s="88">
        <v>659</v>
      </c>
      <c r="D573" s="90" t="s">
        <v>375</v>
      </c>
      <c r="E573" s="90" t="s">
        <v>951</v>
      </c>
      <c r="F573" s="90" t="s">
        <v>951</v>
      </c>
      <c r="G573" s="213"/>
      <c r="H573" s="213"/>
      <c r="I573" s="213"/>
      <c r="J573" s="213"/>
      <c r="K573" s="213"/>
      <c r="L573" s="213"/>
      <c r="M573" s="213"/>
      <c r="N573" s="213"/>
      <c r="O573" s="213"/>
      <c r="P573" s="213"/>
      <c r="Q573" s="213"/>
      <c r="R573" s="213"/>
      <c r="S573" s="213"/>
      <c r="T573" s="213"/>
      <c r="U573" s="213"/>
      <c r="V573" s="213"/>
      <c r="W573" s="213"/>
      <c r="X573" s="213"/>
      <c r="Y573" s="213"/>
      <c r="Z573" s="213"/>
      <c r="AA573" s="213"/>
    </row>
    <row r="574" spans="2:27">
      <c r="B574" s="88">
        <v>660</v>
      </c>
      <c r="D574" s="90" t="s">
        <v>376</v>
      </c>
      <c r="E574" s="90" t="s">
        <v>952</v>
      </c>
      <c r="F574" s="90" t="s">
        <v>952</v>
      </c>
      <c r="G574" s="213"/>
      <c r="H574" s="213"/>
      <c r="I574" s="213"/>
      <c r="J574" s="213"/>
      <c r="K574" s="213"/>
      <c r="L574" s="213"/>
      <c r="M574" s="213"/>
      <c r="N574" s="213"/>
      <c r="O574" s="213"/>
      <c r="P574" s="213"/>
      <c r="Q574" s="213"/>
      <c r="R574" s="213"/>
      <c r="S574" s="213"/>
      <c r="T574" s="213"/>
      <c r="U574" s="213"/>
      <c r="V574" s="213"/>
      <c r="W574" s="213"/>
      <c r="X574" s="213"/>
      <c r="Y574" s="213"/>
      <c r="Z574" s="213"/>
      <c r="AA574" s="213"/>
    </row>
    <row r="575" spans="2:27">
      <c r="B575" s="88">
        <v>661</v>
      </c>
      <c r="D575" s="90" t="s">
        <v>377</v>
      </c>
      <c r="E575" s="90" t="s">
        <v>953</v>
      </c>
      <c r="F575" s="90" t="s">
        <v>953</v>
      </c>
      <c r="G575" s="213"/>
      <c r="H575" s="213"/>
      <c r="I575" s="213"/>
      <c r="J575" s="213"/>
      <c r="K575" s="213"/>
      <c r="L575" s="213"/>
      <c r="M575" s="213"/>
      <c r="N575" s="213"/>
      <c r="O575" s="213"/>
      <c r="P575" s="213"/>
      <c r="Q575" s="213"/>
      <c r="R575" s="213"/>
      <c r="S575" s="213"/>
      <c r="T575" s="213"/>
      <c r="U575" s="213"/>
      <c r="V575" s="213"/>
      <c r="W575" s="213"/>
      <c r="X575" s="213"/>
      <c r="Y575" s="213"/>
      <c r="Z575" s="213"/>
      <c r="AA575" s="213"/>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8"/>
  <sheetViews>
    <sheetView topLeftCell="N1" zoomScale="81" zoomScaleNormal="81" workbookViewId="0">
      <selection activeCell="Q27" sqref="Q27"/>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1091</v>
      </c>
      <c r="B1" s="132" t="s">
        <v>379</v>
      </c>
      <c r="C1" s="132" t="s">
        <v>1079</v>
      </c>
      <c r="D1" s="132" t="s">
        <v>1080</v>
      </c>
      <c r="E1" s="132" t="s">
        <v>1081</v>
      </c>
      <c r="F1" s="132" t="s">
        <v>1082</v>
      </c>
      <c r="G1" s="132" t="s">
        <v>1083</v>
      </c>
      <c r="H1" s="132" t="s">
        <v>1084</v>
      </c>
      <c r="I1" s="132" t="s">
        <v>1085</v>
      </c>
      <c r="J1" s="132" t="s">
        <v>1086</v>
      </c>
      <c r="K1" s="132" t="s">
        <v>1087</v>
      </c>
      <c r="L1" s="132" t="s">
        <v>1088</v>
      </c>
      <c r="M1" s="132" t="s">
        <v>380</v>
      </c>
      <c r="N1" s="132" t="s">
        <v>381</v>
      </c>
      <c r="O1" s="132" t="s">
        <v>382</v>
      </c>
      <c r="P1" s="132" t="s">
        <v>383</v>
      </c>
      <c r="Q1" s="132" t="s">
        <v>1040</v>
      </c>
      <c r="R1" s="132" t="s">
        <v>1041</v>
      </c>
      <c r="S1" s="132" t="s">
        <v>1090</v>
      </c>
      <c r="T1" s="132" t="s">
        <v>1289</v>
      </c>
      <c r="U1" s="132" t="s">
        <v>1018</v>
      </c>
      <c r="V1" s="133" t="s">
        <v>1019</v>
      </c>
      <c r="W1" s="132" t="s">
        <v>1021</v>
      </c>
      <c r="X1" s="134" t="s">
        <v>1267</v>
      </c>
      <c r="Y1" s="134" t="s">
        <v>1022</v>
      </c>
      <c r="Z1" s="134" t="s">
        <v>1023</v>
      </c>
      <c r="AA1" s="133" t="s">
        <v>1042</v>
      </c>
      <c r="AB1" s="133" t="s">
        <v>1043</v>
      </c>
      <c r="AC1" s="133" t="s">
        <v>1076</v>
      </c>
      <c r="AD1" s="132" t="s">
        <v>1020</v>
      </c>
    </row>
    <row r="2" spans="1:30">
      <c r="A2" s="131" t="s">
        <v>1106</v>
      </c>
      <c r="B2" s="131" t="s">
        <v>1100</v>
      </c>
      <c r="C2" s="131" t="s">
        <v>1025</v>
      </c>
      <c r="D2" s="131" t="s">
        <v>1099</v>
      </c>
      <c r="E2" s="131" t="s">
        <v>1100</v>
      </c>
      <c r="M2" s="131" t="s">
        <v>1340</v>
      </c>
      <c r="N2" s="131" t="s">
        <v>1568</v>
      </c>
      <c r="O2" s="127">
        <v>44228</v>
      </c>
      <c r="P2" s="127">
        <v>44232</v>
      </c>
      <c r="Q2" s="127">
        <v>44190</v>
      </c>
      <c r="R2" s="127">
        <v>44191</v>
      </c>
      <c r="S2" s="128">
        <v>52</v>
      </c>
      <c r="T2" s="128">
        <v>1</v>
      </c>
      <c r="U2" s="128">
        <v>0</v>
      </c>
      <c r="V2" s="129">
        <v>0</v>
      </c>
      <c r="W2" s="128">
        <v>0</v>
      </c>
      <c r="X2" s="130">
        <v>1</v>
      </c>
      <c r="Y2" s="130">
        <v>1</v>
      </c>
      <c r="Z2" s="130">
        <v>1</v>
      </c>
      <c r="AC2" s="129">
        <v>0</v>
      </c>
    </row>
    <row r="3" spans="1:30">
      <c r="A3" s="131" t="s">
        <v>1106</v>
      </c>
      <c r="B3" s="131" t="s">
        <v>1100</v>
      </c>
      <c r="C3" s="131" t="s">
        <v>1025</v>
      </c>
      <c r="D3" s="131" t="s">
        <v>1099</v>
      </c>
      <c r="E3" s="131" t="s">
        <v>1100</v>
      </c>
      <c r="M3" s="131" t="s">
        <v>1340</v>
      </c>
      <c r="N3" s="131" t="s">
        <v>1568</v>
      </c>
      <c r="O3" s="127">
        <v>44228</v>
      </c>
      <c r="P3" s="127">
        <v>44232</v>
      </c>
      <c r="Q3" s="127">
        <v>44192</v>
      </c>
      <c r="R3" s="127">
        <v>44198</v>
      </c>
      <c r="S3" s="128">
        <v>53</v>
      </c>
      <c r="T3" s="128">
        <v>2</v>
      </c>
      <c r="U3" s="128">
        <v>0</v>
      </c>
      <c r="V3" s="129">
        <v>0</v>
      </c>
      <c r="W3" s="128">
        <v>0</v>
      </c>
      <c r="X3" s="130">
        <v>1</v>
      </c>
      <c r="Y3" s="130">
        <v>1</v>
      </c>
      <c r="Z3" s="130">
        <v>1</v>
      </c>
      <c r="AC3" s="129">
        <v>0</v>
      </c>
    </row>
    <row r="4" spans="1:30">
      <c r="A4" s="131" t="s">
        <v>1106</v>
      </c>
      <c r="B4" s="131" t="s">
        <v>1100</v>
      </c>
      <c r="C4" s="131" t="s">
        <v>1025</v>
      </c>
      <c r="D4" s="131" t="s">
        <v>1099</v>
      </c>
      <c r="E4" s="131" t="s">
        <v>1100</v>
      </c>
      <c r="M4" s="131" t="s">
        <v>1340</v>
      </c>
      <c r="N4" s="131" t="s">
        <v>1568</v>
      </c>
      <c r="O4" s="127">
        <v>44228</v>
      </c>
      <c r="P4" s="127">
        <v>44232</v>
      </c>
      <c r="Q4" s="127">
        <v>44199</v>
      </c>
      <c r="R4" s="127">
        <v>44205</v>
      </c>
      <c r="S4" s="128">
        <v>2</v>
      </c>
      <c r="T4" s="128">
        <v>3</v>
      </c>
      <c r="U4" s="128">
        <v>0</v>
      </c>
      <c r="V4" s="129">
        <v>0</v>
      </c>
      <c r="W4" s="128">
        <v>0</v>
      </c>
      <c r="X4" s="130">
        <v>1</v>
      </c>
      <c r="Y4" s="130">
        <v>1</v>
      </c>
      <c r="Z4" s="130">
        <v>1</v>
      </c>
      <c r="AC4" s="129">
        <v>0</v>
      </c>
    </row>
    <row r="5" spans="1:30">
      <c r="A5" s="131" t="s">
        <v>1106</v>
      </c>
      <c r="B5" s="131" t="s">
        <v>1100</v>
      </c>
      <c r="C5" s="131" t="s">
        <v>1025</v>
      </c>
      <c r="D5" s="131" t="s">
        <v>1099</v>
      </c>
      <c r="E5" s="131" t="s">
        <v>1100</v>
      </c>
      <c r="M5" s="131" t="s">
        <v>1340</v>
      </c>
      <c r="N5" s="131" t="s">
        <v>1568</v>
      </c>
      <c r="O5" s="127">
        <v>44228</v>
      </c>
      <c r="P5" s="127">
        <v>44232</v>
      </c>
      <c r="Q5" s="127">
        <v>44206</v>
      </c>
      <c r="R5" s="127">
        <v>44212</v>
      </c>
      <c r="S5" s="128">
        <v>3</v>
      </c>
      <c r="T5" s="128">
        <v>4</v>
      </c>
      <c r="U5" s="128">
        <v>0</v>
      </c>
      <c r="V5" s="129">
        <v>0</v>
      </c>
      <c r="W5" s="128">
        <v>0</v>
      </c>
      <c r="X5" s="130">
        <v>1</v>
      </c>
      <c r="Y5" s="130">
        <v>1</v>
      </c>
      <c r="Z5" s="130">
        <v>1</v>
      </c>
      <c r="AC5" s="129">
        <v>0</v>
      </c>
    </row>
    <row r="6" spans="1:30">
      <c r="A6" s="131" t="s">
        <v>1106</v>
      </c>
      <c r="B6" s="131" t="s">
        <v>1100</v>
      </c>
      <c r="C6" s="131" t="s">
        <v>1025</v>
      </c>
      <c r="D6" s="131" t="s">
        <v>1099</v>
      </c>
      <c r="E6" s="131" t="s">
        <v>1100</v>
      </c>
      <c r="M6" s="131" t="s">
        <v>1340</v>
      </c>
      <c r="N6" s="131" t="s">
        <v>1568</v>
      </c>
      <c r="O6" s="127">
        <v>44228</v>
      </c>
      <c r="P6" s="127">
        <v>44232</v>
      </c>
      <c r="Q6" s="127">
        <v>44213</v>
      </c>
      <c r="R6" s="127">
        <v>44219</v>
      </c>
      <c r="S6" s="128">
        <v>4</v>
      </c>
      <c r="T6" s="128">
        <v>5</v>
      </c>
      <c r="U6" s="128">
        <v>0</v>
      </c>
      <c r="V6" s="129">
        <v>0</v>
      </c>
      <c r="W6" s="128">
        <v>0</v>
      </c>
      <c r="X6" s="130">
        <v>1</v>
      </c>
      <c r="Y6" s="130">
        <v>1</v>
      </c>
      <c r="Z6" s="130">
        <v>1</v>
      </c>
      <c r="AC6" s="129">
        <v>0</v>
      </c>
    </row>
    <row r="7" spans="1:30">
      <c r="A7" s="131" t="s">
        <v>1106</v>
      </c>
      <c r="B7" s="131" t="s">
        <v>1100</v>
      </c>
      <c r="C7" s="131" t="s">
        <v>1025</v>
      </c>
      <c r="D7" s="131" t="s">
        <v>1099</v>
      </c>
      <c r="E7" s="131" t="s">
        <v>1100</v>
      </c>
      <c r="M7" s="131" t="s">
        <v>1340</v>
      </c>
      <c r="N7" s="131" t="s">
        <v>1568</v>
      </c>
      <c r="O7" s="127">
        <v>44228</v>
      </c>
      <c r="P7" s="127">
        <v>44232</v>
      </c>
      <c r="Q7" s="127">
        <v>44220</v>
      </c>
      <c r="R7" s="127">
        <v>44226</v>
      </c>
      <c r="S7" s="128">
        <v>5</v>
      </c>
      <c r="T7" s="128">
        <v>6</v>
      </c>
      <c r="U7" s="128">
        <v>0</v>
      </c>
      <c r="V7" s="129">
        <v>0</v>
      </c>
      <c r="W7" s="128">
        <v>0</v>
      </c>
      <c r="X7" s="130">
        <v>1</v>
      </c>
      <c r="Y7" s="130">
        <v>1</v>
      </c>
      <c r="Z7" s="130">
        <v>1</v>
      </c>
      <c r="AC7" s="129">
        <v>0</v>
      </c>
    </row>
    <row r="8" spans="1:30">
      <c r="A8" s="131" t="s">
        <v>1106</v>
      </c>
      <c r="B8" s="131" t="s">
        <v>1100</v>
      </c>
      <c r="C8" s="131" t="s">
        <v>1025</v>
      </c>
      <c r="D8" s="131" t="s">
        <v>1099</v>
      </c>
      <c r="E8" s="131" t="s">
        <v>1100</v>
      </c>
      <c r="M8" s="131" t="s">
        <v>1340</v>
      </c>
      <c r="N8" s="131" t="s">
        <v>1568</v>
      </c>
      <c r="O8" s="127">
        <v>44228</v>
      </c>
      <c r="P8" s="127">
        <v>44232</v>
      </c>
      <c r="Q8" s="127">
        <v>44227</v>
      </c>
      <c r="R8" s="127">
        <v>44233</v>
      </c>
      <c r="S8" s="128">
        <v>6</v>
      </c>
      <c r="T8" s="128">
        <v>7</v>
      </c>
      <c r="U8" s="128">
        <v>5</v>
      </c>
      <c r="V8" s="129">
        <v>5</v>
      </c>
      <c r="W8" s="128">
        <v>0</v>
      </c>
      <c r="X8" s="130">
        <v>1</v>
      </c>
      <c r="Y8" s="130">
        <v>1</v>
      </c>
      <c r="Z8" s="130">
        <v>1</v>
      </c>
      <c r="AC8" s="129">
        <v>0</v>
      </c>
    </row>
    <row r="9" spans="1:30">
      <c r="A9" s="131" t="s">
        <v>1106</v>
      </c>
      <c r="B9" s="131" t="s">
        <v>1103</v>
      </c>
      <c r="C9" s="131" t="s">
        <v>1025</v>
      </c>
      <c r="D9" s="131" t="s">
        <v>1102</v>
      </c>
      <c r="E9" s="131" t="s">
        <v>1103</v>
      </c>
      <c r="M9" s="131" t="s">
        <v>1514</v>
      </c>
      <c r="N9" s="131" t="s">
        <v>1527</v>
      </c>
      <c r="O9" s="127">
        <v>44211</v>
      </c>
      <c r="P9" s="127">
        <v>44215</v>
      </c>
      <c r="Q9" s="127">
        <v>44206</v>
      </c>
      <c r="R9" s="127">
        <v>44212</v>
      </c>
      <c r="S9" s="128">
        <v>3</v>
      </c>
      <c r="T9" s="128">
        <v>4</v>
      </c>
      <c r="U9" s="128">
        <v>0.2</v>
      </c>
      <c r="V9" s="129">
        <v>0.2</v>
      </c>
      <c r="W9" s="128">
        <v>0</v>
      </c>
      <c r="X9" s="130">
        <v>0.2</v>
      </c>
      <c r="Y9" s="130">
        <v>1</v>
      </c>
      <c r="Z9" s="130">
        <v>0.5</v>
      </c>
      <c r="AC9" s="129">
        <v>0.2</v>
      </c>
    </row>
    <row r="10" spans="1:30">
      <c r="A10" s="131" t="s">
        <v>1106</v>
      </c>
      <c r="B10" s="131" t="s">
        <v>1103</v>
      </c>
      <c r="C10" s="131" t="s">
        <v>1025</v>
      </c>
      <c r="D10" s="131" t="s">
        <v>1102</v>
      </c>
      <c r="E10" s="131" t="s">
        <v>1103</v>
      </c>
      <c r="M10" s="131" t="s">
        <v>1514</v>
      </c>
      <c r="N10" s="131" t="s">
        <v>1527</v>
      </c>
      <c r="O10" s="127">
        <v>44211</v>
      </c>
      <c r="P10" s="127">
        <v>44215</v>
      </c>
      <c r="Q10" s="127">
        <v>44213</v>
      </c>
      <c r="R10" s="127">
        <v>44219</v>
      </c>
      <c r="S10" s="128">
        <v>4</v>
      </c>
      <c r="T10" s="128">
        <v>5</v>
      </c>
      <c r="U10" s="128">
        <v>0.4</v>
      </c>
      <c r="V10" s="129">
        <v>0.4</v>
      </c>
      <c r="W10" s="128">
        <v>0</v>
      </c>
      <c r="X10" s="130">
        <v>0.2</v>
      </c>
      <c r="Y10" s="130">
        <v>1</v>
      </c>
      <c r="Z10" s="130">
        <v>0.5</v>
      </c>
      <c r="AC10" s="129">
        <v>0.10000000000000003</v>
      </c>
    </row>
    <row r="11" spans="1:30">
      <c r="A11" s="131" t="s">
        <v>1106</v>
      </c>
      <c r="B11" s="131" t="s">
        <v>1124</v>
      </c>
      <c r="C11" s="131" t="s">
        <v>1025</v>
      </c>
      <c r="D11" s="131" t="s">
        <v>1102</v>
      </c>
      <c r="E11" s="131" t="s">
        <v>1124</v>
      </c>
      <c r="M11" s="131" t="s">
        <v>1515</v>
      </c>
      <c r="N11" s="131" t="s">
        <v>1527</v>
      </c>
      <c r="O11" s="127">
        <v>44243</v>
      </c>
      <c r="P11" s="127">
        <v>44243</v>
      </c>
      <c r="Q11" s="127">
        <v>44241</v>
      </c>
      <c r="R11" s="127">
        <v>44247</v>
      </c>
      <c r="S11" s="128">
        <v>8</v>
      </c>
      <c r="T11" s="128">
        <v>9</v>
      </c>
      <c r="U11" s="128">
        <v>0.2</v>
      </c>
      <c r="V11" s="129">
        <v>0.2</v>
      </c>
      <c r="W11" s="128">
        <v>0</v>
      </c>
      <c r="X11" s="130">
        <v>0.2</v>
      </c>
      <c r="Y11" s="130">
        <v>1</v>
      </c>
      <c r="Z11" s="130">
        <v>0</v>
      </c>
      <c r="AC11" s="129">
        <v>0</v>
      </c>
    </row>
    <row r="12" spans="1:30">
      <c r="A12" s="131" t="s">
        <v>1106</v>
      </c>
      <c r="B12" s="131" t="s">
        <v>1516</v>
      </c>
      <c r="C12" s="131" t="s">
        <v>1025</v>
      </c>
      <c r="D12" s="131" t="s">
        <v>1102</v>
      </c>
      <c r="E12" s="131" t="s">
        <v>1516</v>
      </c>
      <c r="M12" s="131" t="s">
        <v>1517</v>
      </c>
      <c r="N12" s="131" t="s">
        <v>1527</v>
      </c>
      <c r="O12" s="127">
        <v>44279</v>
      </c>
      <c r="P12" s="127">
        <v>44304</v>
      </c>
      <c r="Q12" s="127">
        <v>44276</v>
      </c>
      <c r="R12" s="127">
        <v>44282</v>
      </c>
      <c r="S12" s="128">
        <v>13</v>
      </c>
      <c r="T12" s="128">
        <v>14</v>
      </c>
      <c r="U12" s="128">
        <v>0.60000000000000009</v>
      </c>
      <c r="V12" s="129">
        <v>0.2</v>
      </c>
      <c r="W12" s="128">
        <v>0</v>
      </c>
      <c r="X12" s="130">
        <v>0.2</v>
      </c>
      <c r="Y12" s="130">
        <v>5.5555555555555552E-2</v>
      </c>
      <c r="Z12" s="130">
        <v>0</v>
      </c>
      <c r="AC12" s="129">
        <v>0</v>
      </c>
    </row>
    <row r="13" spans="1:30">
      <c r="A13" s="131" t="s">
        <v>1106</v>
      </c>
      <c r="B13" s="131" t="s">
        <v>1516</v>
      </c>
      <c r="C13" s="131" t="s">
        <v>1025</v>
      </c>
      <c r="D13" s="131" t="s">
        <v>1102</v>
      </c>
      <c r="E13" s="131" t="s">
        <v>1516</v>
      </c>
      <c r="M13" s="131" t="s">
        <v>1517</v>
      </c>
      <c r="N13" s="131" t="s">
        <v>1527</v>
      </c>
      <c r="O13" s="127">
        <v>44279</v>
      </c>
      <c r="P13" s="127">
        <v>44304</v>
      </c>
      <c r="Q13" s="127">
        <v>44283</v>
      </c>
      <c r="R13" s="127">
        <v>44289</v>
      </c>
      <c r="S13" s="128">
        <v>14</v>
      </c>
      <c r="T13" s="128">
        <v>15</v>
      </c>
      <c r="U13" s="128">
        <v>1</v>
      </c>
      <c r="V13" s="129">
        <v>0</v>
      </c>
      <c r="W13" s="128">
        <v>0</v>
      </c>
      <c r="X13" s="130">
        <v>0.2</v>
      </c>
      <c r="Y13" s="130">
        <v>5.5555555555555552E-2</v>
      </c>
      <c r="Z13" s="130">
        <v>0</v>
      </c>
      <c r="AC13" s="129">
        <v>0</v>
      </c>
    </row>
    <row r="14" spans="1:30">
      <c r="A14" s="131" t="s">
        <v>1106</v>
      </c>
      <c r="B14" s="131" t="s">
        <v>1516</v>
      </c>
      <c r="C14" s="131" t="s">
        <v>1025</v>
      </c>
      <c r="D14" s="131" t="s">
        <v>1102</v>
      </c>
      <c r="E14" s="131" t="s">
        <v>1516</v>
      </c>
      <c r="M14" s="131" t="s">
        <v>1517</v>
      </c>
      <c r="N14" s="131" t="s">
        <v>1527</v>
      </c>
      <c r="O14" s="127">
        <v>44279</v>
      </c>
      <c r="P14" s="127">
        <v>44304</v>
      </c>
      <c r="Q14" s="127">
        <v>44290</v>
      </c>
      <c r="R14" s="127">
        <v>44296</v>
      </c>
      <c r="S14" s="128">
        <v>15</v>
      </c>
      <c r="T14" s="128">
        <v>16</v>
      </c>
      <c r="U14" s="128">
        <v>1</v>
      </c>
      <c r="V14" s="129">
        <v>0</v>
      </c>
      <c r="W14" s="128">
        <v>0</v>
      </c>
      <c r="X14" s="130">
        <v>0.2</v>
      </c>
      <c r="Y14" s="130">
        <v>5.5555555555555552E-2</v>
      </c>
      <c r="Z14" s="130">
        <v>0</v>
      </c>
      <c r="AC14" s="129">
        <v>0</v>
      </c>
    </row>
    <row r="15" spans="1:30">
      <c r="A15" s="131" t="s">
        <v>1106</v>
      </c>
      <c r="B15" s="131" t="s">
        <v>1516</v>
      </c>
      <c r="C15" s="131" t="s">
        <v>1025</v>
      </c>
      <c r="D15" s="131" t="s">
        <v>1102</v>
      </c>
      <c r="E15" s="131" t="s">
        <v>1516</v>
      </c>
      <c r="M15" s="131" t="s">
        <v>1517</v>
      </c>
      <c r="N15" s="131" t="s">
        <v>1527</v>
      </c>
      <c r="O15" s="127">
        <v>44279</v>
      </c>
      <c r="P15" s="127">
        <v>44304</v>
      </c>
      <c r="Q15" s="127">
        <v>44297</v>
      </c>
      <c r="R15" s="127">
        <v>44303</v>
      </c>
      <c r="S15" s="128">
        <v>16</v>
      </c>
      <c r="T15" s="128">
        <v>17</v>
      </c>
      <c r="U15" s="128">
        <v>1</v>
      </c>
      <c r="V15" s="129">
        <v>0</v>
      </c>
      <c r="W15" s="128">
        <v>0</v>
      </c>
      <c r="X15" s="130">
        <v>0.2</v>
      </c>
      <c r="Y15" s="130">
        <v>5.5555555555555552E-2</v>
      </c>
      <c r="Z15" s="130">
        <v>0</v>
      </c>
      <c r="AC15" s="129">
        <v>0</v>
      </c>
    </row>
    <row r="16" spans="1:30">
      <c r="A16" s="131" t="s">
        <v>1106</v>
      </c>
      <c r="B16" s="131" t="s">
        <v>1516</v>
      </c>
      <c r="C16" s="131" t="s">
        <v>1025</v>
      </c>
      <c r="D16" s="131" t="s">
        <v>1102</v>
      </c>
      <c r="E16" s="131" t="s">
        <v>1516</v>
      </c>
      <c r="M16" s="131" t="s">
        <v>1517</v>
      </c>
      <c r="N16" s="131" t="s">
        <v>1527</v>
      </c>
      <c r="O16" s="127">
        <v>44279</v>
      </c>
      <c r="P16" s="127">
        <v>44304</v>
      </c>
      <c r="Q16" s="127">
        <v>44304</v>
      </c>
      <c r="R16" s="127">
        <v>44310</v>
      </c>
      <c r="S16" s="128">
        <v>17</v>
      </c>
      <c r="T16" s="128">
        <v>18</v>
      </c>
      <c r="U16" s="128">
        <v>0</v>
      </c>
      <c r="V16" s="129">
        <v>0</v>
      </c>
      <c r="W16" s="128">
        <v>0</v>
      </c>
      <c r="X16" s="130">
        <v>0.2</v>
      </c>
      <c r="Y16" s="130">
        <v>5.5555555555555552E-2</v>
      </c>
      <c r="Z16" s="130">
        <v>0</v>
      </c>
      <c r="AC16" s="129">
        <v>0</v>
      </c>
    </row>
    <row r="17" spans="1:29">
      <c r="A17" s="131" t="s">
        <v>1106</v>
      </c>
      <c r="B17" s="131" t="s">
        <v>1518</v>
      </c>
      <c r="C17" s="131" t="s">
        <v>1025</v>
      </c>
      <c r="D17" s="131" t="s">
        <v>1102</v>
      </c>
      <c r="E17" s="131" t="s">
        <v>1518</v>
      </c>
      <c r="M17" s="131" t="s">
        <v>1519</v>
      </c>
      <c r="N17" s="131" t="s">
        <v>1484</v>
      </c>
      <c r="O17" s="127">
        <v>44208</v>
      </c>
      <c r="P17" s="127">
        <v>44208</v>
      </c>
      <c r="Q17" s="127">
        <v>44206</v>
      </c>
      <c r="R17" s="127">
        <v>44212</v>
      </c>
      <c r="S17" s="128">
        <v>3</v>
      </c>
      <c r="T17" s="128">
        <v>4</v>
      </c>
      <c r="U17" s="128">
        <v>1</v>
      </c>
      <c r="V17" s="129">
        <v>1</v>
      </c>
      <c r="W17" s="128">
        <v>0</v>
      </c>
      <c r="X17" s="130">
        <v>1</v>
      </c>
      <c r="Y17" s="130">
        <v>1</v>
      </c>
      <c r="Z17" s="130">
        <v>0</v>
      </c>
      <c r="AC17" s="129">
        <v>0</v>
      </c>
    </row>
    <row r="18" spans="1:29">
      <c r="A18" s="131" t="s">
        <v>1106</v>
      </c>
      <c r="B18" s="131" t="s">
        <v>1105</v>
      </c>
      <c r="C18" s="131" t="s">
        <v>1025</v>
      </c>
      <c r="D18" s="131" t="s">
        <v>1104</v>
      </c>
      <c r="E18" s="131" t="s">
        <v>1105</v>
      </c>
      <c r="M18" s="131" t="s">
        <v>1520</v>
      </c>
      <c r="N18" s="131" t="s">
        <v>1403</v>
      </c>
      <c r="O18" s="127">
        <v>44312</v>
      </c>
      <c r="P18" s="127">
        <v>44316</v>
      </c>
      <c r="Q18" s="127">
        <v>44311</v>
      </c>
      <c r="R18" s="127">
        <v>44317</v>
      </c>
      <c r="S18" s="128">
        <v>18</v>
      </c>
      <c r="T18" s="128">
        <v>19</v>
      </c>
      <c r="U18" s="128">
        <v>5</v>
      </c>
      <c r="V18" s="129">
        <v>0</v>
      </c>
      <c r="W18" s="128">
        <v>0</v>
      </c>
      <c r="X18" s="130">
        <v>1</v>
      </c>
      <c r="Y18" s="130">
        <v>0</v>
      </c>
      <c r="Z18" s="130">
        <v>0</v>
      </c>
      <c r="AC18" s="129">
        <v>0</v>
      </c>
    </row>
    <row r="19" spans="1:29">
      <c r="A19" s="131" t="s">
        <v>1106</v>
      </c>
      <c r="B19" s="131" t="s">
        <v>1105</v>
      </c>
      <c r="C19" s="131" t="s">
        <v>1025</v>
      </c>
      <c r="D19" s="131" t="s">
        <v>1104</v>
      </c>
      <c r="E19" s="131" t="s">
        <v>1105</v>
      </c>
      <c r="M19" s="131" t="s">
        <v>1520</v>
      </c>
      <c r="N19" s="131" t="s">
        <v>1341</v>
      </c>
      <c r="O19" s="127">
        <v>44312</v>
      </c>
      <c r="P19" s="127">
        <v>44316</v>
      </c>
      <c r="Q19" s="127">
        <v>44311</v>
      </c>
      <c r="R19" s="127">
        <v>44317</v>
      </c>
      <c r="S19" s="128">
        <v>18</v>
      </c>
      <c r="T19" s="128">
        <v>19</v>
      </c>
      <c r="U19" s="128">
        <v>5</v>
      </c>
      <c r="V19" s="129">
        <v>0</v>
      </c>
      <c r="W19" s="128">
        <v>0</v>
      </c>
      <c r="X19" s="130">
        <v>1</v>
      </c>
      <c r="Y19" s="130">
        <v>0</v>
      </c>
      <c r="Z19" s="130">
        <v>0</v>
      </c>
      <c r="AC19" s="129">
        <v>0</v>
      </c>
    </row>
    <row r="20" spans="1:29">
      <c r="A20" s="131" t="s">
        <v>1106</v>
      </c>
      <c r="B20" s="131" t="s">
        <v>1125</v>
      </c>
      <c r="C20" s="131" t="s">
        <v>1025</v>
      </c>
      <c r="D20" s="131" t="s">
        <v>1104</v>
      </c>
      <c r="E20" s="131" t="s">
        <v>1125</v>
      </c>
      <c r="M20" s="131" t="s">
        <v>1521</v>
      </c>
      <c r="N20" s="131" t="s">
        <v>741</v>
      </c>
      <c r="O20" s="127">
        <v>44319</v>
      </c>
      <c r="P20" s="127">
        <v>44337</v>
      </c>
      <c r="Q20" s="127">
        <v>44318</v>
      </c>
      <c r="R20" s="127">
        <v>44324</v>
      </c>
      <c r="S20" s="128">
        <v>19</v>
      </c>
      <c r="T20" s="128">
        <v>20</v>
      </c>
      <c r="U20" s="128">
        <v>4</v>
      </c>
      <c r="V20" s="129">
        <v>0</v>
      </c>
      <c r="W20" s="128">
        <v>0</v>
      </c>
      <c r="X20" s="130">
        <v>1</v>
      </c>
      <c r="Y20" s="130">
        <v>0</v>
      </c>
      <c r="Z20" s="130">
        <v>0</v>
      </c>
      <c r="AC20" s="129">
        <v>0</v>
      </c>
    </row>
    <row r="21" spans="1:29">
      <c r="A21" s="131" t="s">
        <v>1106</v>
      </c>
      <c r="B21" s="131" t="s">
        <v>1125</v>
      </c>
      <c r="C21" s="131" t="s">
        <v>1025</v>
      </c>
      <c r="D21" s="131" t="s">
        <v>1104</v>
      </c>
      <c r="E21" s="131" t="s">
        <v>1125</v>
      </c>
      <c r="M21" s="131" t="s">
        <v>1521</v>
      </c>
      <c r="N21" s="131" t="s">
        <v>741</v>
      </c>
      <c r="O21" s="127">
        <v>44319</v>
      </c>
      <c r="P21" s="127">
        <v>44337</v>
      </c>
      <c r="Q21" s="127">
        <v>44325</v>
      </c>
      <c r="R21" s="127">
        <v>44331</v>
      </c>
      <c r="S21" s="128">
        <v>20</v>
      </c>
      <c r="T21" s="128">
        <v>21</v>
      </c>
      <c r="U21" s="128">
        <v>5</v>
      </c>
      <c r="V21" s="129">
        <v>0</v>
      </c>
      <c r="W21" s="128">
        <v>0</v>
      </c>
      <c r="X21" s="130">
        <v>1</v>
      </c>
      <c r="Y21" s="130">
        <v>0</v>
      </c>
      <c r="Z21" s="130">
        <v>0</v>
      </c>
      <c r="AC21" s="129">
        <v>0</v>
      </c>
    </row>
    <row r="22" spans="1:29">
      <c r="A22" s="131" t="s">
        <v>1106</v>
      </c>
      <c r="B22" s="131" t="s">
        <v>1125</v>
      </c>
      <c r="C22" s="131" t="s">
        <v>1025</v>
      </c>
      <c r="D22" s="131" t="s">
        <v>1104</v>
      </c>
      <c r="E22" s="131" t="s">
        <v>1125</v>
      </c>
      <c r="M22" s="131" t="s">
        <v>1521</v>
      </c>
      <c r="N22" s="131" t="s">
        <v>741</v>
      </c>
      <c r="O22" s="127">
        <v>44319</v>
      </c>
      <c r="P22" s="127">
        <v>44337</v>
      </c>
      <c r="Q22" s="127">
        <v>44332</v>
      </c>
      <c r="R22" s="127">
        <v>44338</v>
      </c>
      <c r="S22" s="128">
        <v>21</v>
      </c>
      <c r="T22" s="128">
        <v>22</v>
      </c>
      <c r="U22" s="128">
        <v>4</v>
      </c>
      <c r="V22" s="129">
        <v>0</v>
      </c>
      <c r="W22" s="128">
        <v>0</v>
      </c>
      <c r="X22" s="130">
        <v>1</v>
      </c>
      <c r="Y22" s="130">
        <v>0</v>
      </c>
      <c r="Z22" s="130">
        <v>0</v>
      </c>
      <c r="AC22" s="129">
        <v>0</v>
      </c>
    </row>
    <row r="23" spans="1:29">
      <c r="A23" s="131" t="s">
        <v>1106</v>
      </c>
      <c r="B23" s="131" t="s">
        <v>1522</v>
      </c>
      <c r="C23" s="131" t="s">
        <v>1025</v>
      </c>
      <c r="D23" s="131" t="s">
        <v>1104</v>
      </c>
      <c r="E23" s="131" t="s">
        <v>1522</v>
      </c>
      <c r="M23" s="131" t="s">
        <v>1523</v>
      </c>
      <c r="N23" s="131" t="s">
        <v>1528</v>
      </c>
      <c r="O23" s="127">
        <v>44337</v>
      </c>
      <c r="P23" s="127">
        <v>44337</v>
      </c>
      <c r="Q23" s="127">
        <v>44332</v>
      </c>
      <c r="R23" s="127">
        <v>44338</v>
      </c>
      <c r="S23" s="128">
        <v>21</v>
      </c>
      <c r="T23" s="128">
        <v>22</v>
      </c>
      <c r="U23" s="128">
        <v>1</v>
      </c>
      <c r="V23" s="129">
        <v>0</v>
      </c>
      <c r="W23" s="128">
        <v>0</v>
      </c>
      <c r="X23" s="130">
        <v>1</v>
      </c>
      <c r="Y23" s="130">
        <v>0</v>
      </c>
      <c r="Z23" s="130">
        <v>0</v>
      </c>
      <c r="AC23" s="129">
        <v>0</v>
      </c>
    </row>
    <row r="24" spans="1:29">
      <c r="A24" s="131" t="s">
        <v>1106</v>
      </c>
      <c r="B24" s="131" t="s">
        <v>1522</v>
      </c>
      <c r="C24" s="131" t="s">
        <v>1025</v>
      </c>
      <c r="D24" s="131" t="s">
        <v>1104</v>
      </c>
      <c r="E24" s="131" t="s">
        <v>1522</v>
      </c>
      <c r="M24" s="131" t="s">
        <v>1523</v>
      </c>
      <c r="N24" s="131" t="s">
        <v>1529</v>
      </c>
      <c r="O24" s="127">
        <v>44337</v>
      </c>
      <c r="P24" s="127">
        <v>44337</v>
      </c>
      <c r="Q24" s="127">
        <v>44332</v>
      </c>
      <c r="R24" s="127">
        <v>44338</v>
      </c>
      <c r="S24" s="128">
        <v>21</v>
      </c>
      <c r="T24" s="128">
        <v>22</v>
      </c>
      <c r="U24" s="128">
        <v>1</v>
      </c>
      <c r="V24" s="129">
        <v>0</v>
      </c>
      <c r="W24" s="128">
        <v>0</v>
      </c>
      <c r="X24" s="130">
        <v>1</v>
      </c>
      <c r="Y24" s="130">
        <v>0</v>
      </c>
      <c r="Z24" s="130">
        <v>0</v>
      </c>
      <c r="AC24" s="129">
        <v>0</v>
      </c>
    </row>
    <row r="25" spans="1:29">
      <c r="A25" s="131" t="s">
        <v>1106</v>
      </c>
      <c r="B25" s="131" t="s">
        <v>1524</v>
      </c>
      <c r="C25" s="131" t="s">
        <v>1025</v>
      </c>
      <c r="D25" s="131" t="s">
        <v>1104</v>
      </c>
      <c r="E25" s="131" t="s">
        <v>1524</v>
      </c>
      <c r="M25" s="131" t="s">
        <v>1525</v>
      </c>
      <c r="N25" s="131" t="s">
        <v>1484</v>
      </c>
      <c r="O25" s="127">
        <v>44337</v>
      </c>
      <c r="P25" s="127">
        <v>44377</v>
      </c>
      <c r="Q25" s="127">
        <v>44332</v>
      </c>
      <c r="R25" s="127">
        <v>44338</v>
      </c>
      <c r="S25" s="128">
        <v>21</v>
      </c>
      <c r="T25" s="128">
        <v>22</v>
      </c>
      <c r="U25" s="128">
        <v>0</v>
      </c>
      <c r="V25" s="129">
        <v>0</v>
      </c>
      <c r="W25" s="128">
        <v>0</v>
      </c>
      <c r="X25" s="130">
        <v>0</v>
      </c>
      <c r="Y25" s="130">
        <v>0</v>
      </c>
      <c r="Z25" s="130">
        <v>0</v>
      </c>
      <c r="AC25" s="129">
        <v>0</v>
      </c>
    </row>
    <row r="26" spans="1:29">
      <c r="A26" s="131" t="s">
        <v>1106</v>
      </c>
      <c r="B26" s="131" t="s">
        <v>1524</v>
      </c>
      <c r="C26" s="131" t="s">
        <v>1025</v>
      </c>
      <c r="D26" s="131" t="s">
        <v>1104</v>
      </c>
      <c r="E26" s="131" t="s">
        <v>1524</v>
      </c>
      <c r="M26" s="131" t="s">
        <v>1525</v>
      </c>
      <c r="N26" s="131" t="s">
        <v>1484</v>
      </c>
      <c r="O26" s="127">
        <v>44337</v>
      </c>
      <c r="P26" s="127">
        <v>44377</v>
      </c>
      <c r="Q26" s="127">
        <v>44339</v>
      </c>
      <c r="R26" s="127">
        <v>44345</v>
      </c>
      <c r="S26" s="128">
        <v>22</v>
      </c>
      <c r="T26" s="128">
        <v>23</v>
      </c>
      <c r="U26" s="128">
        <v>0</v>
      </c>
      <c r="V26" s="129">
        <v>0</v>
      </c>
      <c r="W26" s="128">
        <v>0</v>
      </c>
      <c r="X26" s="130">
        <v>0</v>
      </c>
      <c r="Y26" s="130">
        <v>0</v>
      </c>
      <c r="Z26" s="130">
        <v>0</v>
      </c>
      <c r="AC26" s="129">
        <v>0</v>
      </c>
    </row>
    <row r="27" spans="1:29">
      <c r="A27" s="131" t="s">
        <v>1106</v>
      </c>
      <c r="B27" s="131" t="s">
        <v>1524</v>
      </c>
      <c r="C27" s="131" t="s">
        <v>1025</v>
      </c>
      <c r="D27" s="131" t="s">
        <v>1104</v>
      </c>
      <c r="E27" s="131" t="s">
        <v>1524</v>
      </c>
      <c r="M27" s="131" t="s">
        <v>1525</v>
      </c>
      <c r="N27" s="131" t="s">
        <v>1484</v>
      </c>
      <c r="O27" s="127">
        <v>44337</v>
      </c>
      <c r="P27" s="127">
        <v>44377</v>
      </c>
      <c r="Q27" s="127">
        <v>44346</v>
      </c>
      <c r="R27" s="127">
        <v>44352</v>
      </c>
      <c r="S27" s="128">
        <v>23</v>
      </c>
      <c r="T27" s="128">
        <v>24</v>
      </c>
      <c r="U27" s="128">
        <v>0</v>
      </c>
      <c r="V27" s="129">
        <v>0</v>
      </c>
      <c r="W27" s="128">
        <v>0</v>
      </c>
      <c r="X27" s="130">
        <v>0</v>
      </c>
      <c r="Y27" s="130">
        <v>0</v>
      </c>
      <c r="Z27" s="130">
        <v>0</v>
      </c>
      <c r="AC27" s="129">
        <v>0</v>
      </c>
    </row>
    <row r="28" spans="1:29">
      <c r="A28" s="131" t="s">
        <v>1106</v>
      </c>
      <c r="B28" s="131" t="s">
        <v>1524</v>
      </c>
      <c r="C28" s="131" t="s">
        <v>1025</v>
      </c>
      <c r="D28" s="131" t="s">
        <v>1104</v>
      </c>
      <c r="E28" s="131" t="s">
        <v>1524</v>
      </c>
      <c r="M28" s="131" t="s">
        <v>1525</v>
      </c>
      <c r="N28" s="131" t="s">
        <v>1484</v>
      </c>
      <c r="O28" s="127">
        <v>44337</v>
      </c>
      <c r="P28" s="127">
        <v>44377</v>
      </c>
      <c r="Q28" s="127">
        <v>44353</v>
      </c>
      <c r="R28" s="127">
        <v>44359</v>
      </c>
      <c r="S28" s="128">
        <v>24</v>
      </c>
      <c r="T28" s="128">
        <v>25</v>
      </c>
      <c r="U28" s="128">
        <v>0</v>
      </c>
      <c r="V28" s="129">
        <v>0</v>
      </c>
      <c r="W28" s="128">
        <v>0</v>
      </c>
      <c r="X28" s="130">
        <v>0</v>
      </c>
      <c r="Y28" s="130">
        <v>0</v>
      </c>
      <c r="Z28" s="130">
        <v>0</v>
      </c>
      <c r="AC28" s="129">
        <v>0</v>
      </c>
    </row>
    <row r="29" spans="1:29">
      <c r="A29" s="131" t="s">
        <v>1106</v>
      </c>
      <c r="B29" s="131" t="s">
        <v>1524</v>
      </c>
      <c r="C29" s="131" t="s">
        <v>1025</v>
      </c>
      <c r="D29" s="131" t="s">
        <v>1104</v>
      </c>
      <c r="E29" s="131" t="s">
        <v>1524</v>
      </c>
      <c r="M29" s="131" t="s">
        <v>1525</v>
      </c>
      <c r="N29" s="131" t="s">
        <v>1484</v>
      </c>
      <c r="O29" s="127">
        <v>44337</v>
      </c>
      <c r="P29" s="127">
        <v>44377</v>
      </c>
      <c r="Q29" s="127">
        <v>44360</v>
      </c>
      <c r="R29" s="127">
        <v>44366</v>
      </c>
      <c r="S29" s="128">
        <v>25</v>
      </c>
      <c r="T29" s="128">
        <v>26</v>
      </c>
      <c r="U29" s="128">
        <v>0</v>
      </c>
      <c r="V29" s="129">
        <v>0</v>
      </c>
      <c r="W29" s="128">
        <v>0</v>
      </c>
      <c r="X29" s="130">
        <v>0</v>
      </c>
      <c r="Y29" s="130">
        <v>0</v>
      </c>
      <c r="Z29" s="130">
        <v>0</v>
      </c>
      <c r="AC29" s="129">
        <v>0</v>
      </c>
    </row>
    <row r="30" spans="1:29">
      <c r="A30" s="131" t="s">
        <v>1106</v>
      </c>
      <c r="B30" s="131" t="s">
        <v>1524</v>
      </c>
      <c r="C30" s="131" t="s">
        <v>1025</v>
      </c>
      <c r="D30" s="131" t="s">
        <v>1104</v>
      </c>
      <c r="E30" s="131" t="s">
        <v>1524</v>
      </c>
      <c r="M30" s="131" t="s">
        <v>1525</v>
      </c>
      <c r="N30" s="131" t="s">
        <v>1484</v>
      </c>
      <c r="O30" s="127">
        <v>44337</v>
      </c>
      <c r="P30" s="127">
        <v>44377</v>
      </c>
      <c r="Q30" s="127">
        <v>44367</v>
      </c>
      <c r="R30" s="127">
        <v>44373</v>
      </c>
      <c r="S30" s="128">
        <v>26</v>
      </c>
      <c r="T30" s="128">
        <v>27</v>
      </c>
      <c r="U30" s="128">
        <v>0</v>
      </c>
      <c r="V30" s="129">
        <v>0</v>
      </c>
      <c r="W30" s="128">
        <v>0</v>
      </c>
      <c r="X30" s="130">
        <v>0</v>
      </c>
      <c r="Y30" s="130">
        <v>0</v>
      </c>
      <c r="Z30" s="130">
        <v>0</v>
      </c>
      <c r="AC30" s="129">
        <v>0</v>
      </c>
    </row>
    <row r="31" spans="1:29">
      <c r="A31" s="131" t="s">
        <v>1106</v>
      </c>
      <c r="B31" s="131" t="s">
        <v>1524</v>
      </c>
      <c r="C31" s="131" t="s">
        <v>1025</v>
      </c>
      <c r="D31" s="131" t="s">
        <v>1104</v>
      </c>
      <c r="E31" s="131" t="s">
        <v>1524</v>
      </c>
      <c r="M31" s="131" t="s">
        <v>1525</v>
      </c>
      <c r="N31" s="131" t="s">
        <v>1484</v>
      </c>
      <c r="O31" s="127">
        <v>44337</v>
      </c>
      <c r="P31" s="127">
        <v>44377</v>
      </c>
      <c r="Q31" s="127">
        <v>44374</v>
      </c>
      <c r="R31" s="127">
        <v>44380</v>
      </c>
      <c r="S31" s="128">
        <v>27</v>
      </c>
      <c r="T31" s="128">
        <v>28</v>
      </c>
      <c r="U31" s="128">
        <v>0</v>
      </c>
      <c r="V31" s="129">
        <v>0</v>
      </c>
      <c r="W31" s="128">
        <v>0</v>
      </c>
      <c r="X31" s="130">
        <v>0</v>
      </c>
      <c r="Y31" s="130">
        <v>0</v>
      </c>
      <c r="Z31" s="130">
        <v>0</v>
      </c>
      <c r="AC31" s="129">
        <v>0</v>
      </c>
    </row>
    <row r="32" spans="1:29">
      <c r="A32" s="131" t="s">
        <v>1106</v>
      </c>
      <c r="B32" s="131" t="s">
        <v>1342</v>
      </c>
      <c r="C32" s="131" t="s">
        <v>1089</v>
      </c>
      <c r="D32" s="131" t="s">
        <v>1399</v>
      </c>
      <c r="E32" s="131" t="s">
        <v>1342</v>
      </c>
      <c r="M32" s="131" t="s">
        <v>1343</v>
      </c>
      <c r="N32" s="131" t="s">
        <v>1484</v>
      </c>
      <c r="O32" s="127">
        <v>44190</v>
      </c>
      <c r="P32" s="127">
        <v>44208</v>
      </c>
      <c r="Q32" s="127">
        <v>44190</v>
      </c>
      <c r="R32" s="127">
        <v>44191</v>
      </c>
      <c r="S32" s="128">
        <v>52</v>
      </c>
      <c r="T32" s="128">
        <v>1</v>
      </c>
      <c r="U32" s="128">
        <v>0</v>
      </c>
      <c r="V32" s="129">
        <v>0</v>
      </c>
      <c r="W32" s="128">
        <v>0</v>
      </c>
      <c r="X32" s="130">
        <v>1</v>
      </c>
      <c r="Y32" s="130">
        <v>1</v>
      </c>
      <c r="Z32" s="130">
        <v>1</v>
      </c>
      <c r="AC32" s="129">
        <v>0</v>
      </c>
    </row>
    <row r="33" spans="1:29">
      <c r="A33" s="131" t="s">
        <v>1106</v>
      </c>
      <c r="B33" s="131" t="s">
        <v>1342</v>
      </c>
      <c r="C33" s="131" t="s">
        <v>1089</v>
      </c>
      <c r="D33" s="131" t="s">
        <v>1399</v>
      </c>
      <c r="E33" s="131" t="s">
        <v>1342</v>
      </c>
      <c r="M33" s="131" t="s">
        <v>1343</v>
      </c>
      <c r="N33" s="131" t="s">
        <v>1484</v>
      </c>
      <c r="O33" s="127">
        <v>44190</v>
      </c>
      <c r="P33" s="127">
        <v>44208</v>
      </c>
      <c r="Q33" s="127">
        <v>44192</v>
      </c>
      <c r="R33" s="127">
        <v>44198</v>
      </c>
      <c r="S33" s="128">
        <v>53</v>
      </c>
      <c r="T33" s="128">
        <v>2</v>
      </c>
      <c r="U33" s="128">
        <v>4</v>
      </c>
      <c r="V33" s="129">
        <v>4</v>
      </c>
      <c r="W33" s="128">
        <v>0</v>
      </c>
      <c r="X33" s="130">
        <v>1</v>
      </c>
      <c r="Y33" s="130">
        <v>1</v>
      </c>
      <c r="Z33" s="130">
        <v>1</v>
      </c>
      <c r="AC33" s="129">
        <v>4</v>
      </c>
    </row>
    <row r="34" spans="1:29">
      <c r="A34" s="131" t="s">
        <v>1106</v>
      </c>
      <c r="B34" s="131" t="s">
        <v>1342</v>
      </c>
      <c r="C34" s="131" t="s">
        <v>1089</v>
      </c>
      <c r="D34" s="131" t="s">
        <v>1399</v>
      </c>
      <c r="E34" s="131" t="s">
        <v>1342</v>
      </c>
      <c r="M34" s="131" t="s">
        <v>1343</v>
      </c>
      <c r="N34" s="131" t="s">
        <v>1484</v>
      </c>
      <c r="O34" s="127">
        <v>44190</v>
      </c>
      <c r="P34" s="127">
        <v>44208</v>
      </c>
      <c r="Q34" s="127">
        <v>44199</v>
      </c>
      <c r="R34" s="127">
        <v>44205</v>
      </c>
      <c r="S34" s="128">
        <v>2</v>
      </c>
      <c r="T34" s="128">
        <v>3</v>
      </c>
      <c r="U34" s="128">
        <v>5</v>
      </c>
      <c r="V34" s="129">
        <v>5</v>
      </c>
      <c r="W34" s="128">
        <v>0</v>
      </c>
      <c r="X34" s="130">
        <v>1</v>
      </c>
      <c r="Y34" s="130">
        <v>1</v>
      </c>
      <c r="Z34" s="130">
        <v>1</v>
      </c>
      <c r="AC34" s="129">
        <v>5</v>
      </c>
    </row>
    <row r="35" spans="1:29">
      <c r="A35" s="131" t="s">
        <v>1106</v>
      </c>
      <c r="B35" s="131" t="s">
        <v>1342</v>
      </c>
      <c r="C35" s="131" t="s">
        <v>1089</v>
      </c>
      <c r="D35" s="131" t="s">
        <v>1399</v>
      </c>
      <c r="E35" s="131" t="s">
        <v>1342</v>
      </c>
      <c r="M35" s="131" t="s">
        <v>1343</v>
      </c>
      <c r="N35" s="131" t="s">
        <v>1484</v>
      </c>
      <c r="O35" s="127">
        <v>44190</v>
      </c>
      <c r="P35" s="127">
        <v>44208</v>
      </c>
      <c r="Q35" s="127">
        <v>44206</v>
      </c>
      <c r="R35" s="127">
        <v>44212</v>
      </c>
      <c r="S35" s="128">
        <v>3</v>
      </c>
      <c r="T35" s="128">
        <v>4</v>
      </c>
      <c r="U35" s="128">
        <v>2</v>
      </c>
      <c r="V35" s="129">
        <v>2</v>
      </c>
      <c r="W35" s="128">
        <v>0</v>
      </c>
      <c r="X35" s="130">
        <v>1</v>
      </c>
      <c r="Y35" s="130">
        <v>1</v>
      </c>
      <c r="Z35" s="130">
        <v>1</v>
      </c>
      <c r="AC35" s="129">
        <v>2</v>
      </c>
    </row>
    <row r="36" spans="1:29">
      <c r="A36" s="131" t="s">
        <v>1107</v>
      </c>
      <c r="B36" s="131" t="s">
        <v>1345</v>
      </c>
      <c r="C36" s="131" t="s">
        <v>1089</v>
      </c>
      <c r="D36" s="131" t="s">
        <v>1399</v>
      </c>
      <c r="E36" s="131" t="s">
        <v>1344</v>
      </c>
      <c r="F36" s="131" t="s">
        <v>1345</v>
      </c>
      <c r="M36" s="131" t="s">
        <v>1346</v>
      </c>
      <c r="N36" s="131" t="s">
        <v>1484</v>
      </c>
      <c r="O36" s="127">
        <v>44196</v>
      </c>
      <c r="P36" s="127">
        <v>44207</v>
      </c>
      <c r="Q36" s="127">
        <v>44192</v>
      </c>
      <c r="R36" s="127">
        <v>44198</v>
      </c>
      <c r="S36" s="128">
        <v>53</v>
      </c>
      <c r="T36" s="128">
        <v>2</v>
      </c>
      <c r="U36" s="128">
        <v>1</v>
      </c>
      <c r="V36" s="129">
        <v>1</v>
      </c>
      <c r="W36" s="128">
        <v>0</v>
      </c>
      <c r="X36" s="130">
        <v>1</v>
      </c>
      <c r="Y36" s="130">
        <v>1</v>
      </c>
      <c r="Z36" s="130">
        <v>0.2</v>
      </c>
      <c r="AC36" s="129">
        <v>1</v>
      </c>
    </row>
    <row r="37" spans="1:29">
      <c r="A37" s="131" t="s">
        <v>1107</v>
      </c>
      <c r="B37" s="131" t="s">
        <v>1345</v>
      </c>
      <c r="C37" s="131" t="s">
        <v>1089</v>
      </c>
      <c r="D37" s="131" t="s">
        <v>1399</v>
      </c>
      <c r="E37" s="131" t="s">
        <v>1344</v>
      </c>
      <c r="F37" s="131" t="s">
        <v>1345</v>
      </c>
      <c r="M37" s="131" t="s">
        <v>1346</v>
      </c>
      <c r="N37" s="131" t="s">
        <v>1484</v>
      </c>
      <c r="O37" s="127">
        <v>44196</v>
      </c>
      <c r="P37" s="127">
        <v>44207</v>
      </c>
      <c r="Q37" s="127">
        <v>44199</v>
      </c>
      <c r="R37" s="127">
        <v>44205</v>
      </c>
      <c r="S37" s="128">
        <v>2</v>
      </c>
      <c r="T37" s="128">
        <v>3</v>
      </c>
      <c r="U37" s="128">
        <v>5</v>
      </c>
      <c r="V37" s="129">
        <v>5</v>
      </c>
      <c r="W37" s="128">
        <v>0</v>
      </c>
      <c r="X37" s="130">
        <v>1</v>
      </c>
      <c r="Y37" s="130">
        <v>1</v>
      </c>
      <c r="Z37" s="130">
        <v>0.2</v>
      </c>
      <c r="AC37" s="129">
        <v>0.40000000000000013</v>
      </c>
    </row>
    <row r="38" spans="1:29">
      <c r="A38" s="131" t="s">
        <v>1107</v>
      </c>
      <c r="B38" s="131" t="s">
        <v>1345</v>
      </c>
      <c r="C38" s="131" t="s">
        <v>1089</v>
      </c>
      <c r="D38" s="131" t="s">
        <v>1399</v>
      </c>
      <c r="E38" s="131" t="s">
        <v>1344</v>
      </c>
      <c r="F38" s="131" t="s">
        <v>1345</v>
      </c>
      <c r="M38" s="131" t="s">
        <v>1346</v>
      </c>
      <c r="N38" s="131" t="s">
        <v>1484</v>
      </c>
      <c r="O38" s="127">
        <v>44196</v>
      </c>
      <c r="P38" s="127">
        <v>44207</v>
      </c>
      <c r="Q38" s="127">
        <v>44206</v>
      </c>
      <c r="R38" s="127">
        <v>44212</v>
      </c>
      <c r="S38" s="128">
        <v>3</v>
      </c>
      <c r="T38" s="128">
        <v>4</v>
      </c>
      <c r="U38" s="128">
        <v>1</v>
      </c>
      <c r="V38" s="129">
        <v>1</v>
      </c>
      <c r="W38" s="128">
        <v>0</v>
      </c>
      <c r="X38" s="130">
        <v>1</v>
      </c>
      <c r="Y38" s="130">
        <v>1</v>
      </c>
      <c r="Z38" s="130">
        <v>0.2</v>
      </c>
      <c r="AC38" s="129">
        <v>0</v>
      </c>
    </row>
    <row r="39" spans="1:29">
      <c r="A39" s="131" t="s">
        <v>1107</v>
      </c>
      <c r="B39" s="131" t="s">
        <v>1347</v>
      </c>
      <c r="C39" s="131" t="s">
        <v>1089</v>
      </c>
      <c r="D39" s="131" t="s">
        <v>1399</v>
      </c>
      <c r="E39" s="131" t="s">
        <v>1344</v>
      </c>
      <c r="F39" s="131" t="s">
        <v>1347</v>
      </c>
      <c r="M39" s="131" t="s">
        <v>1348</v>
      </c>
      <c r="N39" s="131" t="s">
        <v>1404</v>
      </c>
      <c r="O39" s="127">
        <v>44196</v>
      </c>
      <c r="P39" s="127">
        <v>44207</v>
      </c>
      <c r="Q39" s="127">
        <v>44192</v>
      </c>
      <c r="R39" s="127">
        <v>44198</v>
      </c>
      <c r="S39" s="128">
        <v>53</v>
      </c>
      <c r="T39" s="128">
        <v>2</v>
      </c>
      <c r="U39" s="128">
        <v>1.2</v>
      </c>
      <c r="V39" s="129">
        <v>1.2</v>
      </c>
      <c r="W39" s="128">
        <v>0</v>
      </c>
      <c r="X39" s="130">
        <v>1.2</v>
      </c>
      <c r="Y39" s="130">
        <v>1</v>
      </c>
      <c r="Z39" s="130">
        <v>0.15</v>
      </c>
      <c r="AC39" s="129">
        <v>1.2</v>
      </c>
    </row>
    <row r="40" spans="1:29">
      <c r="A40" s="131" t="s">
        <v>1107</v>
      </c>
      <c r="B40" s="131" t="s">
        <v>1347</v>
      </c>
      <c r="C40" s="131" t="s">
        <v>1089</v>
      </c>
      <c r="D40" s="131" t="s">
        <v>1399</v>
      </c>
      <c r="E40" s="131" t="s">
        <v>1344</v>
      </c>
      <c r="F40" s="131" t="s">
        <v>1347</v>
      </c>
      <c r="M40" s="131" t="s">
        <v>1348</v>
      </c>
      <c r="N40" s="131" t="s">
        <v>1341</v>
      </c>
      <c r="O40" s="127">
        <v>44196</v>
      </c>
      <c r="P40" s="127">
        <v>44207</v>
      </c>
      <c r="Q40" s="127">
        <v>44192</v>
      </c>
      <c r="R40" s="127">
        <v>44198</v>
      </c>
      <c r="S40" s="128">
        <v>53</v>
      </c>
      <c r="T40" s="128">
        <v>2</v>
      </c>
      <c r="U40" s="128">
        <v>0.5</v>
      </c>
      <c r="V40" s="129">
        <v>0.5</v>
      </c>
      <c r="W40" s="128">
        <v>0</v>
      </c>
      <c r="X40" s="130">
        <v>0.5</v>
      </c>
      <c r="Y40" s="130">
        <v>1</v>
      </c>
      <c r="Z40" s="130">
        <v>0.15</v>
      </c>
      <c r="AC40" s="129">
        <v>0.5</v>
      </c>
    </row>
    <row r="41" spans="1:29">
      <c r="A41" s="131" t="s">
        <v>1107</v>
      </c>
      <c r="B41" s="131" t="s">
        <v>1347</v>
      </c>
      <c r="C41" s="131" t="s">
        <v>1089</v>
      </c>
      <c r="D41" s="131" t="s">
        <v>1399</v>
      </c>
      <c r="E41" s="131" t="s">
        <v>1344</v>
      </c>
      <c r="F41" s="131" t="s">
        <v>1347</v>
      </c>
      <c r="M41" s="131" t="s">
        <v>1348</v>
      </c>
      <c r="N41" s="131" t="s">
        <v>1404</v>
      </c>
      <c r="O41" s="127">
        <v>44196</v>
      </c>
      <c r="P41" s="127">
        <v>44207</v>
      </c>
      <c r="Q41" s="127">
        <v>44199</v>
      </c>
      <c r="R41" s="127">
        <v>44205</v>
      </c>
      <c r="S41" s="128">
        <v>2</v>
      </c>
      <c r="T41" s="128">
        <v>3</v>
      </c>
      <c r="U41" s="128">
        <v>6</v>
      </c>
      <c r="V41" s="129">
        <v>6</v>
      </c>
      <c r="W41" s="128">
        <v>0</v>
      </c>
      <c r="X41" s="130">
        <v>1.2</v>
      </c>
      <c r="Y41" s="130">
        <v>1</v>
      </c>
      <c r="Z41" s="130">
        <v>0.15</v>
      </c>
      <c r="AC41" s="129">
        <v>5.9999999999999977E-2</v>
      </c>
    </row>
    <row r="42" spans="1:29">
      <c r="A42" s="131" t="s">
        <v>1107</v>
      </c>
      <c r="B42" s="131" t="s">
        <v>1347</v>
      </c>
      <c r="C42" s="131" t="s">
        <v>1089</v>
      </c>
      <c r="D42" s="131" t="s">
        <v>1399</v>
      </c>
      <c r="E42" s="131" t="s">
        <v>1344</v>
      </c>
      <c r="F42" s="131" t="s">
        <v>1347</v>
      </c>
      <c r="M42" s="131" t="s">
        <v>1348</v>
      </c>
      <c r="N42" s="131" t="s">
        <v>1341</v>
      </c>
      <c r="O42" s="127">
        <v>44196</v>
      </c>
      <c r="P42" s="127">
        <v>44207</v>
      </c>
      <c r="Q42" s="127">
        <v>44199</v>
      </c>
      <c r="R42" s="127">
        <v>44205</v>
      </c>
      <c r="S42" s="128">
        <v>2</v>
      </c>
      <c r="T42" s="128">
        <v>3</v>
      </c>
      <c r="U42" s="128">
        <v>2.5</v>
      </c>
      <c r="V42" s="129">
        <v>2.5</v>
      </c>
      <c r="W42" s="128">
        <v>0</v>
      </c>
      <c r="X42" s="130">
        <v>0.5</v>
      </c>
      <c r="Y42" s="130">
        <v>1</v>
      </c>
      <c r="Z42" s="130">
        <v>0.15</v>
      </c>
      <c r="AC42" s="129">
        <v>2.4999999999999991E-2</v>
      </c>
    </row>
    <row r="43" spans="1:29">
      <c r="A43" s="131" t="s">
        <v>1107</v>
      </c>
      <c r="B43" s="131" t="s">
        <v>1347</v>
      </c>
      <c r="C43" s="131" t="s">
        <v>1089</v>
      </c>
      <c r="D43" s="131" t="s">
        <v>1399</v>
      </c>
      <c r="E43" s="131" t="s">
        <v>1344</v>
      </c>
      <c r="F43" s="131" t="s">
        <v>1347</v>
      </c>
      <c r="M43" s="131" t="s">
        <v>1348</v>
      </c>
      <c r="N43" s="131" t="s">
        <v>1404</v>
      </c>
      <c r="O43" s="127">
        <v>44196</v>
      </c>
      <c r="P43" s="127">
        <v>44207</v>
      </c>
      <c r="Q43" s="127">
        <v>44206</v>
      </c>
      <c r="R43" s="127">
        <v>44212</v>
      </c>
      <c r="S43" s="128">
        <v>3</v>
      </c>
      <c r="T43" s="128">
        <v>4</v>
      </c>
      <c r="U43" s="128">
        <v>1.2</v>
      </c>
      <c r="V43" s="129">
        <v>1.2</v>
      </c>
      <c r="W43" s="128">
        <v>0</v>
      </c>
      <c r="X43" s="130">
        <v>1.2</v>
      </c>
      <c r="Y43" s="130">
        <v>1</v>
      </c>
      <c r="Z43" s="130">
        <v>0.15</v>
      </c>
      <c r="AC43" s="129">
        <v>0</v>
      </c>
    </row>
    <row r="44" spans="1:29">
      <c r="A44" s="131" t="s">
        <v>1107</v>
      </c>
      <c r="B44" s="131" t="s">
        <v>1347</v>
      </c>
      <c r="C44" s="131" t="s">
        <v>1089</v>
      </c>
      <c r="D44" s="131" t="s">
        <v>1399</v>
      </c>
      <c r="E44" s="131" t="s">
        <v>1344</v>
      </c>
      <c r="F44" s="131" t="s">
        <v>1347</v>
      </c>
      <c r="M44" s="131" t="s">
        <v>1348</v>
      </c>
      <c r="N44" s="131" t="s">
        <v>1341</v>
      </c>
      <c r="O44" s="127">
        <v>44196</v>
      </c>
      <c r="P44" s="127">
        <v>44207</v>
      </c>
      <c r="Q44" s="127">
        <v>44206</v>
      </c>
      <c r="R44" s="127">
        <v>44212</v>
      </c>
      <c r="S44" s="128">
        <v>3</v>
      </c>
      <c r="T44" s="128">
        <v>4</v>
      </c>
      <c r="U44" s="128">
        <v>0.5</v>
      </c>
      <c r="V44" s="129">
        <v>0.5</v>
      </c>
      <c r="W44" s="128">
        <v>0</v>
      </c>
      <c r="X44" s="130">
        <v>0.5</v>
      </c>
      <c r="Y44" s="130">
        <v>1</v>
      </c>
      <c r="Z44" s="130">
        <v>0.15</v>
      </c>
      <c r="AC44" s="129">
        <v>0</v>
      </c>
    </row>
    <row r="45" spans="1:29">
      <c r="A45" s="131" t="s">
        <v>1106</v>
      </c>
      <c r="B45" s="131" t="s">
        <v>1349</v>
      </c>
      <c r="C45" s="131" t="s">
        <v>1089</v>
      </c>
      <c r="D45" s="131" t="s">
        <v>1400</v>
      </c>
      <c r="E45" s="131" t="s">
        <v>1349</v>
      </c>
      <c r="M45" s="131" t="s">
        <v>1350</v>
      </c>
      <c r="N45" s="131" t="s">
        <v>1484</v>
      </c>
      <c r="O45" s="127">
        <v>44210</v>
      </c>
      <c r="P45" s="127">
        <v>44228</v>
      </c>
      <c r="Q45" s="127">
        <v>44206</v>
      </c>
      <c r="R45" s="127">
        <v>44212</v>
      </c>
      <c r="S45" s="128">
        <v>3</v>
      </c>
      <c r="T45" s="128">
        <v>4</v>
      </c>
      <c r="U45" s="128">
        <v>2</v>
      </c>
      <c r="V45" s="129">
        <v>2</v>
      </c>
      <c r="W45" s="128">
        <v>0</v>
      </c>
      <c r="X45" s="130">
        <v>1</v>
      </c>
      <c r="Y45" s="130">
        <v>1</v>
      </c>
      <c r="Z45" s="130">
        <v>0</v>
      </c>
      <c r="AC45" s="129">
        <v>0</v>
      </c>
    </row>
    <row r="46" spans="1:29">
      <c r="A46" s="131" t="s">
        <v>1106</v>
      </c>
      <c r="B46" s="131" t="s">
        <v>1349</v>
      </c>
      <c r="C46" s="131" t="s">
        <v>1089</v>
      </c>
      <c r="D46" s="131" t="s">
        <v>1400</v>
      </c>
      <c r="E46" s="131" t="s">
        <v>1349</v>
      </c>
      <c r="M46" s="131" t="s">
        <v>1350</v>
      </c>
      <c r="N46" s="131" t="s">
        <v>1484</v>
      </c>
      <c r="O46" s="127">
        <v>44210</v>
      </c>
      <c r="P46" s="127">
        <v>44228</v>
      </c>
      <c r="Q46" s="127">
        <v>44213</v>
      </c>
      <c r="R46" s="127">
        <v>44219</v>
      </c>
      <c r="S46" s="128">
        <v>4</v>
      </c>
      <c r="T46" s="128">
        <v>5</v>
      </c>
      <c r="U46" s="128">
        <v>5</v>
      </c>
      <c r="V46" s="129">
        <v>5</v>
      </c>
      <c r="W46" s="128">
        <v>0</v>
      </c>
      <c r="X46" s="130">
        <v>1</v>
      </c>
      <c r="Y46" s="130">
        <v>1</v>
      </c>
      <c r="Z46" s="130">
        <v>0</v>
      </c>
      <c r="AC46" s="129">
        <v>0</v>
      </c>
    </row>
    <row r="47" spans="1:29">
      <c r="A47" s="131" t="s">
        <v>1106</v>
      </c>
      <c r="B47" s="131" t="s">
        <v>1349</v>
      </c>
      <c r="C47" s="131" t="s">
        <v>1089</v>
      </c>
      <c r="D47" s="131" t="s">
        <v>1400</v>
      </c>
      <c r="E47" s="131" t="s">
        <v>1349</v>
      </c>
      <c r="M47" s="131" t="s">
        <v>1350</v>
      </c>
      <c r="N47" s="131" t="s">
        <v>1484</v>
      </c>
      <c r="O47" s="127">
        <v>44210</v>
      </c>
      <c r="P47" s="127">
        <v>44228</v>
      </c>
      <c r="Q47" s="127">
        <v>44220</v>
      </c>
      <c r="R47" s="127">
        <v>44226</v>
      </c>
      <c r="S47" s="128">
        <v>5</v>
      </c>
      <c r="T47" s="128">
        <v>6</v>
      </c>
      <c r="U47" s="128">
        <v>5</v>
      </c>
      <c r="V47" s="129">
        <v>5</v>
      </c>
      <c r="W47" s="128">
        <v>0</v>
      </c>
      <c r="X47" s="130">
        <v>1</v>
      </c>
      <c r="Y47" s="130">
        <v>1</v>
      </c>
      <c r="Z47" s="130">
        <v>0</v>
      </c>
      <c r="AC47" s="129">
        <v>0</v>
      </c>
    </row>
    <row r="48" spans="1:29">
      <c r="A48" s="131" t="s">
        <v>1106</v>
      </c>
      <c r="B48" s="131" t="s">
        <v>1349</v>
      </c>
      <c r="C48" s="131" t="s">
        <v>1089</v>
      </c>
      <c r="D48" s="131" t="s">
        <v>1400</v>
      </c>
      <c r="E48" s="131" t="s">
        <v>1349</v>
      </c>
      <c r="M48" s="131" t="s">
        <v>1350</v>
      </c>
      <c r="N48" s="131" t="s">
        <v>1484</v>
      </c>
      <c r="O48" s="127">
        <v>44210</v>
      </c>
      <c r="P48" s="127">
        <v>44228</v>
      </c>
      <c r="Q48" s="127">
        <v>44227</v>
      </c>
      <c r="R48" s="127">
        <v>44233</v>
      </c>
      <c r="S48" s="128">
        <v>6</v>
      </c>
      <c r="T48" s="128">
        <v>7</v>
      </c>
      <c r="U48" s="128">
        <v>1</v>
      </c>
      <c r="V48" s="129">
        <v>1</v>
      </c>
      <c r="W48" s="128">
        <v>0</v>
      </c>
      <c r="X48" s="130">
        <v>1</v>
      </c>
      <c r="Y48" s="130">
        <v>1</v>
      </c>
      <c r="Z48" s="130">
        <v>0</v>
      </c>
      <c r="AC48" s="129">
        <v>0</v>
      </c>
    </row>
    <row r="49" spans="1:29">
      <c r="A49" s="131" t="s">
        <v>1107</v>
      </c>
      <c r="B49" s="131" t="s">
        <v>1352</v>
      </c>
      <c r="C49" s="131" t="s">
        <v>1089</v>
      </c>
      <c r="D49" s="131" t="s">
        <v>1400</v>
      </c>
      <c r="E49" s="131" t="s">
        <v>1351</v>
      </c>
      <c r="F49" s="131" t="s">
        <v>1352</v>
      </c>
      <c r="M49" s="131" t="s">
        <v>1353</v>
      </c>
      <c r="N49" s="131" t="s">
        <v>1484</v>
      </c>
      <c r="O49" s="127">
        <v>44217</v>
      </c>
      <c r="P49" s="127">
        <v>44228</v>
      </c>
      <c r="Q49" s="127">
        <v>44213</v>
      </c>
      <c r="R49" s="127">
        <v>44219</v>
      </c>
      <c r="S49" s="128">
        <v>4</v>
      </c>
      <c r="T49" s="128">
        <v>5</v>
      </c>
      <c r="U49" s="128">
        <v>2</v>
      </c>
      <c r="V49" s="129">
        <v>2</v>
      </c>
      <c r="W49" s="128">
        <v>0</v>
      </c>
      <c r="X49" s="130">
        <v>1</v>
      </c>
      <c r="Y49" s="130">
        <v>1</v>
      </c>
      <c r="Z49" s="130">
        <v>0</v>
      </c>
      <c r="AC49" s="129">
        <v>0</v>
      </c>
    </row>
    <row r="50" spans="1:29">
      <c r="A50" s="131" t="s">
        <v>1107</v>
      </c>
      <c r="B50" s="131" t="s">
        <v>1352</v>
      </c>
      <c r="C50" s="131" t="s">
        <v>1089</v>
      </c>
      <c r="D50" s="131" t="s">
        <v>1400</v>
      </c>
      <c r="E50" s="131" t="s">
        <v>1351</v>
      </c>
      <c r="F50" s="131" t="s">
        <v>1352</v>
      </c>
      <c r="M50" s="131" t="s">
        <v>1353</v>
      </c>
      <c r="N50" s="131" t="s">
        <v>1484</v>
      </c>
      <c r="O50" s="127">
        <v>44217</v>
      </c>
      <c r="P50" s="127">
        <v>44228</v>
      </c>
      <c r="Q50" s="127">
        <v>44220</v>
      </c>
      <c r="R50" s="127">
        <v>44226</v>
      </c>
      <c r="S50" s="128">
        <v>5</v>
      </c>
      <c r="T50" s="128">
        <v>6</v>
      </c>
      <c r="U50" s="128">
        <v>5</v>
      </c>
      <c r="V50" s="129">
        <v>5</v>
      </c>
      <c r="W50" s="128">
        <v>0</v>
      </c>
      <c r="X50" s="130">
        <v>1</v>
      </c>
      <c r="Y50" s="130">
        <v>1</v>
      </c>
      <c r="Z50" s="130">
        <v>0</v>
      </c>
      <c r="AC50" s="129">
        <v>0</v>
      </c>
    </row>
    <row r="51" spans="1:29">
      <c r="A51" s="131" t="s">
        <v>1107</v>
      </c>
      <c r="B51" s="131" t="s">
        <v>1352</v>
      </c>
      <c r="C51" s="131" t="s">
        <v>1089</v>
      </c>
      <c r="D51" s="131" t="s">
        <v>1400</v>
      </c>
      <c r="E51" s="131" t="s">
        <v>1351</v>
      </c>
      <c r="F51" s="131" t="s">
        <v>1352</v>
      </c>
      <c r="M51" s="131" t="s">
        <v>1353</v>
      </c>
      <c r="N51" s="131" t="s">
        <v>1484</v>
      </c>
      <c r="O51" s="127">
        <v>44217</v>
      </c>
      <c r="P51" s="127">
        <v>44228</v>
      </c>
      <c r="Q51" s="127">
        <v>44227</v>
      </c>
      <c r="R51" s="127">
        <v>44233</v>
      </c>
      <c r="S51" s="128">
        <v>6</v>
      </c>
      <c r="T51" s="128">
        <v>7</v>
      </c>
      <c r="U51" s="128">
        <v>1</v>
      </c>
      <c r="V51" s="129">
        <v>1</v>
      </c>
      <c r="W51" s="128">
        <v>0</v>
      </c>
      <c r="X51" s="130">
        <v>1</v>
      </c>
      <c r="Y51" s="130">
        <v>1</v>
      </c>
      <c r="Z51" s="130">
        <v>0</v>
      </c>
      <c r="AC51" s="129">
        <v>0</v>
      </c>
    </row>
    <row r="52" spans="1:29">
      <c r="A52" s="131" t="s">
        <v>1107</v>
      </c>
      <c r="B52" s="131" t="s">
        <v>1354</v>
      </c>
      <c r="C52" s="131" t="s">
        <v>1089</v>
      </c>
      <c r="D52" s="131" t="s">
        <v>1400</v>
      </c>
      <c r="E52" s="131" t="s">
        <v>1351</v>
      </c>
      <c r="F52" s="131" t="s">
        <v>1354</v>
      </c>
      <c r="M52" s="131" t="s">
        <v>1355</v>
      </c>
      <c r="N52" s="131" t="s">
        <v>1484</v>
      </c>
      <c r="O52" s="127">
        <v>44224</v>
      </c>
      <c r="P52" s="127">
        <v>44235</v>
      </c>
      <c r="Q52" s="127">
        <v>44220</v>
      </c>
      <c r="R52" s="127">
        <v>44226</v>
      </c>
      <c r="S52" s="128">
        <v>5</v>
      </c>
      <c r="T52" s="128">
        <v>6</v>
      </c>
      <c r="U52" s="128">
        <v>2</v>
      </c>
      <c r="V52" s="129">
        <v>2</v>
      </c>
      <c r="W52" s="128">
        <v>0</v>
      </c>
      <c r="X52" s="130">
        <v>1</v>
      </c>
      <c r="Y52" s="130">
        <v>1</v>
      </c>
      <c r="Z52" s="130">
        <v>0</v>
      </c>
      <c r="AC52" s="129">
        <v>0</v>
      </c>
    </row>
    <row r="53" spans="1:29">
      <c r="A53" s="131" t="s">
        <v>1107</v>
      </c>
      <c r="B53" s="131" t="s">
        <v>1354</v>
      </c>
      <c r="C53" s="131" t="s">
        <v>1089</v>
      </c>
      <c r="D53" s="131" t="s">
        <v>1400</v>
      </c>
      <c r="E53" s="131" t="s">
        <v>1351</v>
      </c>
      <c r="F53" s="131" t="s">
        <v>1354</v>
      </c>
      <c r="M53" s="131" t="s">
        <v>1355</v>
      </c>
      <c r="N53" s="131" t="s">
        <v>1484</v>
      </c>
      <c r="O53" s="127">
        <v>44224</v>
      </c>
      <c r="P53" s="127">
        <v>44235</v>
      </c>
      <c r="Q53" s="127">
        <v>44227</v>
      </c>
      <c r="R53" s="127">
        <v>44233</v>
      </c>
      <c r="S53" s="128">
        <v>6</v>
      </c>
      <c r="T53" s="128">
        <v>7</v>
      </c>
      <c r="U53" s="128">
        <v>5</v>
      </c>
      <c r="V53" s="129">
        <v>5</v>
      </c>
      <c r="W53" s="128">
        <v>0</v>
      </c>
      <c r="X53" s="130">
        <v>1</v>
      </c>
      <c r="Y53" s="130">
        <v>1</v>
      </c>
      <c r="Z53" s="130">
        <v>0</v>
      </c>
      <c r="AC53" s="129">
        <v>0</v>
      </c>
    </row>
    <row r="54" spans="1:29">
      <c r="A54" s="131" t="s">
        <v>1107</v>
      </c>
      <c r="B54" s="131" t="s">
        <v>1354</v>
      </c>
      <c r="C54" s="131" t="s">
        <v>1089</v>
      </c>
      <c r="D54" s="131" t="s">
        <v>1400</v>
      </c>
      <c r="E54" s="131" t="s">
        <v>1351</v>
      </c>
      <c r="F54" s="131" t="s">
        <v>1354</v>
      </c>
      <c r="M54" s="131" t="s">
        <v>1355</v>
      </c>
      <c r="N54" s="131" t="s">
        <v>1484</v>
      </c>
      <c r="O54" s="127">
        <v>44224</v>
      </c>
      <c r="P54" s="127">
        <v>44235</v>
      </c>
      <c r="Q54" s="127">
        <v>44234</v>
      </c>
      <c r="R54" s="127">
        <v>44240</v>
      </c>
      <c r="S54" s="128">
        <v>7</v>
      </c>
      <c r="T54" s="128">
        <v>8</v>
      </c>
      <c r="U54" s="128">
        <v>1</v>
      </c>
      <c r="V54" s="129">
        <v>1</v>
      </c>
      <c r="W54" s="128">
        <v>0</v>
      </c>
      <c r="X54" s="130">
        <v>1</v>
      </c>
      <c r="Y54" s="130">
        <v>1</v>
      </c>
      <c r="Z54" s="130">
        <v>0</v>
      </c>
      <c r="AC54" s="129">
        <v>0</v>
      </c>
    </row>
    <row r="55" spans="1:29">
      <c r="A55" s="131" t="s">
        <v>1107</v>
      </c>
      <c r="B55" s="131" t="s">
        <v>1356</v>
      </c>
      <c r="C55" s="131" t="s">
        <v>1089</v>
      </c>
      <c r="D55" s="131" t="s">
        <v>1400</v>
      </c>
      <c r="E55" s="131" t="s">
        <v>1351</v>
      </c>
      <c r="F55" s="131" t="s">
        <v>1356</v>
      </c>
      <c r="M55" s="131" t="s">
        <v>1357</v>
      </c>
      <c r="N55" s="131" t="s">
        <v>1484</v>
      </c>
      <c r="O55" s="127">
        <v>44224</v>
      </c>
      <c r="P55" s="127">
        <v>44242</v>
      </c>
      <c r="Q55" s="127">
        <v>44220</v>
      </c>
      <c r="R55" s="127">
        <v>44226</v>
      </c>
      <c r="S55" s="128">
        <v>5</v>
      </c>
      <c r="T55" s="128">
        <v>6</v>
      </c>
      <c r="U55" s="128">
        <v>2</v>
      </c>
      <c r="V55" s="129">
        <v>2</v>
      </c>
      <c r="W55" s="128">
        <v>0</v>
      </c>
      <c r="X55" s="130">
        <v>1</v>
      </c>
      <c r="Y55" s="130">
        <v>1</v>
      </c>
      <c r="Z55" s="130">
        <v>0</v>
      </c>
      <c r="AC55" s="129">
        <v>0</v>
      </c>
    </row>
    <row r="56" spans="1:29">
      <c r="A56" s="131" t="s">
        <v>1107</v>
      </c>
      <c r="B56" s="131" t="s">
        <v>1356</v>
      </c>
      <c r="C56" s="131" t="s">
        <v>1089</v>
      </c>
      <c r="D56" s="131" t="s">
        <v>1400</v>
      </c>
      <c r="E56" s="131" t="s">
        <v>1351</v>
      </c>
      <c r="F56" s="131" t="s">
        <v>1356</v>
      </c>
      <c r="M56" s="131" t="s">
        <v>1357</v>
      </c>
      <c r="N56" s="131" t="s">
        <v>1484</v>
      </c>
      <c r="O56" s="127">
        <v>44224</v>
      </c>
      <c r="P56" s="127">
        <v>44242</v>
      </c>
      <c r="Q56" s="127">
        <v>44227</v>
      </c>
      <c r="R56" s="127">
        <v>44233</v>
      </c>
      <c r="S56" s="128">
        <v>6</v>
      </c>
      <c r="T56" s="128">
        <v>7</v>
      </c>
      <c r="U56" s="128">
        <v>5</v>
      </c>
      <c r="V56" s="129">
        <v>5</v>
      </c>
      <c r="W56" s="128">
        <v>0</v>
      </c>
      <c r="X56" s="130">
        <v>1</v>
      </c>
      <c r="Y56" s="130">
        <v>1</v>
      </c>
      <c r="Z56" s="130">
        <v>0</v>
      </c>
      <c r="AC56" s="129">
        <v>0</v>
      </c>
    </row>
    <row r="57" spans="1:29">
      <c r="A57" s="131" t="s">
        <v>1107</v>
      </c>
      <c r="B57" s="131" t="s">
        <v>1356</v>
      </c>
      <c r="C57" s="131" t="s">
        <v>1089</v>
      </c>
      <c r="D57" s="131" t="s">
        <v>1400</v>
      </c>
      <c r="E57" s="131" t="s">
        <v>1351</v>
      </c>
      <c r="F57" s="131" t="s">
        <v>1356</v>
      </c>
      <c r="M57" s="131" t="s">
        <v>1357</v>
      </c>
      <c r="N57" s="131" t="s">
        <v>1484</v>
      </c>
      <c r="O57" s="127">
        <v>44224</v>
      </c>
      <c r="P57" s="127">
        <v>44242</v>
      </c>
      <c r="Q57" s="127">
        <v>44234</v>
      </c>
      <c r="R57" s="127">
        <v>44240</v>
      </c>
      <c r="S57" s="128">
        <v>7</v>
      </c>
      <c r="T57" s="128">
        <v>8</v>
      </c>
      <c r="U57" s="128">
        <v>3</v>
      </c>
      <c r="V57" s="129">
        <v>3</v>
      </c>
      <c r="W57" s="128">
        <v>0</v>
      </c>
      <c r="X57" s="130">
        <v>1</v>
      </c>
      <c r="Y57" s="130">
        <v>1</v>
      </c>
      <c r="Z57" s="130">
        <v>0</v>
      </c>
      <c r="AC57" s="129">
        <v>0</v>
      </c>
    </row>
    <row r="58" spans="1:29">
      <c r="A58" s="131" t="s">
        <v>1107</v>
      </c>
      <c r="B58" s="131" t="s">
        <v>1356</v>
      </c>
      <c r="C58" s="131" t="s">
        <v>1089</v>
      </c>
      <c r="D58" s="131" t="s">
        <v>1400</v>
      </c>
      <c r="E58" s="131" t="s">
        <v>1351</v>
      </c>
      <c r="F58" s="131" t="s">
        <v>1356</v>
      </c>
      <c r="M58" s="131" t="s">
        <v>1357</v>
      </c>
      <c r="N58" s="131" t="s">
        <v>1484</v>
      </c>
      <c r="O58" s="127">
        <v>44224</v>
      </c>
      <c r="P58" s="127">
        <v>44242</v>
      </c>
      <c r="Q58" s="127">
        <v>44241</v>
      </c>
      <c r="R58" s="127">
        <v>44247</v>
      </c>
      <c r="S58" s="128">
        <v>8</v>
      </c>
      <c r="T58" s="128">
        <v>9</v>
      </c>
      <c r="U58" s="128">
        <v>1</v>
      </c>
      <c r="V58" s="129">
        <v>1</v>
      </c>
      <c r="W58" s="128">
        <v>0</v>
      </c>
      <c r="X58" s="130">
        <v>1</v>
      </c>
      <c r="Y58" s="130">
        <v>1</v>
      </c>
      <c r="Z58" s="130">
        <v>0</v>
      </c>
      <c r="AC58" s="129">
        <v>0</v>
      </c>
    </row>
    <row r="59" spans="1:29">
      <c r="A59" s="131" t="s">
        <v>1106</v>
      </c>
      <c r="B59" s="131" t="s">
        <v>1358</v>
      </c>
      <c r="C59" s="131" t="s">
        <v>1089</v>
      </c>
      <c r="D59" s="131" t="s">
        <v>1400</v>
      </c>
      <c r="E59" s="131" t="s">
        <v>1358</v>
      </c>
      <c r="M59" s="131" t="s">
        <v>1359</v>
      </c>
      <c r="N59" s="131" t="s">
        <v>1484</v>
      </c>
      <c r="O59" s="127">
        <v>44245</v>
      </c>
      <c r="P59" s="127">
        <v>44249</v>
      </c>
      <c r="Q59" s="127">
        <v>44241</v>
      </c>
      <c r="R59" s="127">
        <v>44247</v>
      </c>
      <c r="S59" s="128">
        <v>8</v>
      </c>
      <c r="T59" s="128">
        <v>9</v>
      </c>
      <c r="U59" s="128">
        <v>2</v>
      </c>
      <c r="V59" s="129">
        <v>2</v>
      </c>
      <c r="W59" s="128">
        <v>0</v>
      </c>
      <c r="X59" s="130">
        <v>1</v>
      </c>
      <c r="Y59" s="130">
        <v>1</v>
      </c>
      <c r="Z59" s="130">
        <v>0</v>
      </c>
      <c r="AC59" s="129">
        <v>0</v>
      </c>
    </row>
    <row r="60" spans="1:29">
      <c r="A60" s="131" t="s">
        <v>1106</v>
      </c>
      <c r="B60" s="131" t="s">
        <v>1358</v>
      </c>
      <c r="C60" s="131" t="s">
        <v>1089</v>
      </c>
      <c r="D60" s="131" t="s">
        <v>1400</v>
      </c>
      <c r="E60" s="131" t="s">
        <v>1358</v>
      </c>
      <c r="M60" s="131" t="s">
        <v>1359</v>
      </c>
      <c r="N60" s="131" t="s">
        <v>1484</v>
      </c>
      <c r="O60" s="127">
        <v>44245</v>
      </c>
      <c r="P60" s="127">
        <v>44249</v>
      </c>
      <c r="Q60" s="127">
        <v>44248</v>
      </c>
      <c r="R60" s="127">
        <v>44254</v>
      </c>
      <c r="S60" s="128">
        <v>9</v>
      </c>
      <c r="T60" s="128">
        <v>10</v>
      </c>
      <c r="U60" s="128">
        <v>1</v>
      </c>
      <c r="V60" s="129">
        <v>1</v>
      </c>
      <c r="W60" s="128">
        <v>0</v>
      </c>
      <c r="X60" s="130">
        <v>1</v>
      </c>
      <c r="Y60" s="130">
        <v>1</v>
      </c>
      <c r="Z60" s="130">
        <v>0</v>
      </c>
      <c r="AC60" s="129">
        <v>0</v>
      </c>
    </row>
    <row r="61" spans="1:29">
      <c r="A61" s="131" t="s">
        <v>1107</v>
      </c>
      <c r="B61" s="131" t="s">
        <v>1361</v>
      </c>
      <c r="C61" s="131" t="s">
        <v>1089</v>
      </c>
      <c r="D61" s="131" t="s">
        <v>1401</v>
      </c>
      <c r="E61" s="131" t="s">
        <v>1360</v>
      </c>
      <c r="F61" s="131" t="s">
        <v>1361</v>
      </c>
      <c r="M61" s="131" t="s">
        <v>1362</v>
      </c>
      <c r="N61" s="131" t="s">
        <v>1484</v>
      </c>
      <c r="O61" s="127">
        <v>44245</v>
      </c>
      <c r="P61" s="127">
        <v>44249</v>
      </c>
      <c r="Q61" s="127">
        <v>44241</v>
      </c>
      <c r="R61" s="127">
        <v>44247</v>
      </c>
      <c r="S61" s="128">
        <v>8</v>
      </c>
      <c r="T61" s="128">
        <v>9</v>
      </c>
      <c r="U61" s="128">
        <v>2</v>
      </c>
      <c r="V61" s="129">
        <v>2</v>
      </c>
      <c r="W61" s="128">
        <v>0</v>
      </c>
      <c r="X61" s="130">
        <v>1</v>
      </c>
      <c r="Y61" s="130">
        <v>1</v>
      </c>
      <c r="Z61" s="130">
        <v>0</v>
      </c>
      <c r="AC61" s="129">
        <v>0</v>
      </c>
    </row>
    <row r="62" spans="1:29">
      <c r="A62" s="131" t="s">
        <v>1107</v>
      </c>
      <c r="B62" s="131" t="s">
        <v>1361</v>
      </c>
      <c r="C62" s="131" t="s">
        <v>1089</v>
      </c>
      <c r="D62" s="131" t="s">
        <v>1401</v>
      </c>
      <c r="E62" s="131" t="s">
        <v>1360</v>
      </c>
      <c r="F62" s="131" t="s">
        <v>1361</v>
      </c>
      <c r="M62" s="131" t="s">
        <v>1362</v>
      </c>
      <c r="N62" s="131" t="s">
        <v>1484</v>
      </c>
      <c r="O62" s="127">
        <v>44245</v>
      </c>
      <c r="P62" s="127">
        <v>44249</v>
      </c>
      <c r="Q62" s="127">
        <v>44248</v>
      </c>
      <c r="R62" s="127">
        <v>44254</v>
      </c>
      <c r="S62" s="128">
        <v>9</v>
      </c>
      <c r="T62" s="128">
        <v>10</v>
      </c>
      <c r="U62" s="128">
        <v>1</v>
      </c>
      <c r="V62" s="129">
        <v>1</v>
      </c>
      <c r="W62" s="128">
        <v>0</v>
      </c>
      <c r="X62" s="130">
        <v>1</v>
      </c>
      <c r="Y62" s="130">
        <v>1</v>
      </c>
      <c r="Z62" s="130">
        <v>0</v>
      </c>
      <c r="AC62" s="129">
        <v>0</v>
      </c>
    </row>
    <row r="63" spans="1:29">
      <c r="A63" s="131" t="s">
        <v>1109</v>
      </c>
      <c r="B63" s="131" t="s">
        <v>1365</v>
      </c>
      <c r="C63" s="131" t="s">
        <v>1089</v>
      </c>
      <c r="D63" s="131" t="s">
        <v>1401</v>
      </c>
      <c r="E63" s="131" t="s">
        <v>1360</v>
      </c>
      <c r="F63" s="131" t="s">
        <v>1363</v>
      </c>
      <c r="G63" s="131" t="s">
        <v>1364</v>
      </c>
      <c r="H63" s="131" t="s">
        <v>1365</v>
      </c>
      <c r="M63" s="131" t="s">
        <v>1366</v>
      </c>
      <c r="N63" s="131" t="s">
        <v>1484</v>
      </c>
      <c r="O63" s="127">
        <v>44245</v>
      </c>
      <c r="P63" s="127">
        <v>44249</v>
      </c>
      <c r="Q63" s="127">
        <v>44241</v>
      </c>
      <c r="R63" s="127">
        <v>44247</v>
      </c>
      <c r="S63" s="128">
        <v>8</v>
      </c>
      <c r="T63" s="128">
        <v>9</v>
      </c>
      <c r="U63" s="128">
        <v>2</v>
      </c>
      <c r="V63" s="129">
        <v>2</v>
      </c>
      <c r="W63" s="128">
        <v>0</v>
      </c>
      <c r="X63" s="130">
        <v>1</v>
      </c>
      <c r="Y63" s="130">
        <v>1</v>
      </c>
      <c r="Z63" s="130">
        <v>0</v>
      </c>
      <c r="AC63" s="129">
        <v>0</v>
      </c>
    </row>
    <row r="64" spans="1:29">
      <c r="A64" s="131" t="s">
        <v>1109</v>
      </c>
      <c r="B64" s="131" t="s">
        <v>1365</v>
      </c>
      <c r="C64" s="131" t="s">
        <v>1089</v>
      </c>
      <c r="D64" s="131" t="s">
        <v>1401</v>
      </c>
      <c r="E64" s="131" t="s">
        <v>1360</v>
      </c>
      <c r="F64" s="131" t="s">
        <v>1363</v>
      </c>
      <c r="G64" s="131" t="s">
        <v>1364</v>
      </c>
      <c r="H64" s="131" t="s">
        <v>1365</v>
      </c>
      <c r="M64" s="131" t="s">
        <v>1366</v>
      </c>
      <c r="N64" s="131" t="s">
        <v>1484</v>
      </c>
      <c r="O64" s="127">
        <v>44245</v>
      </c>
      <c r="P64" s="127">
        <v>44249</v>
      </c>
      <c r="Q64" s="127">
        <v>44248</v>
      </c>
      <c r="R64" s="127">
        <v>44254</v>
      </c>
      <c r="S64" s="128">
        <v>9</v>
      </c>
      <c r="T64" s="128">
        <v>10</v>
      </c>
      <c r="U64" s="128">
        <v>1</v>
      </c>
      <c r="V64" s="129">
        <v>1</v>
      </c>
      <c r="W64" s="128">
        <v>0</v>
      </c>
      <c r="X64" s="130">
        <v>1</v>
      </c>
      <c r="Y64" s="130">
        <v>1</v>
      </c>
      <c r="Z64" s="130">
        <v>0</v>
      </c>
      <c r="AC64" s="129">
        <v>0</v>
      </c>
    </row>
    <row r="65" spans="1:29">
      <c r="A65" s="131" t="s">
        <v>1109</v>
      </c>
      <c r="B65" s="131" t="s">
        <v>1367</v>
      </c>
      <c r="C65" s="131" t="s">
        <v>1089</v>
      </c>
      <c r="D65" s="131" t="s">
        <v>1401</v>
      </c>
      <c r="E65" s="131" t="s">
        <v>1360</v>
      </c>
      <c r="F65" s="131" t="s">
        <v>1363</v>
      </c>
      <c r="G65" s="131" t="s">
        <v>1364</v>
      </c>
      <c r="H65" s="131" t="s">
        <v>1367</v>
      </c>
      <c r="M65" s="131" t="s">
        <v>1368</v>
      </c>
      <c r="N65" s="131" t="s">
        <v>1484</v>
      </c>
      <c r="O65" s="127">
        <v>44252</v>
      </c>
      <c r="P65" s="127">
        <v>44256</v>
      </c>
      <c r="Q65" s="127">
        <v>44248</v>
      </c>
      <c r="R65" s="127">
        <v>44254</v>
      </c>
      <c r="S65" s="128">
        <v>9</v>
      </c>
      <c r="T65" s="128">
        <v>10</v>
      </c>
      <c r="U65" s="128">
        <v>2</v>
      </c>
      <c r="V65" s="129">
        <v>2</v>
      </c>
      <c r="W65" s="128">
        <v>0</v>
      </c>
      <c r="X65" s="130">
        <v>1</v>
      </c>
      <c r="Y65" s="130">
        <v>1</v>
      </c>
      <c r="Z65" s="130">
        <v>0</v>
      </c>
      <c r="AC65" s="129">
        <v>0</v>
      </c>
    </row>
    <row r="66" spans="1:29">
      <c r="A66" s="131" t="s">
        <v>1109</v>
      </c>
      <c r="B66" s="131" t="s">
        <v>1367</v>
      </c>
      <c r="C66" s="131" t="s">
        <v>1089</v>
      </c>
      <c r="D66" s="131" t="s">
        <v>1401</v>
      </c>
      <c r="E66" s="131" t="s">
        <v>1360</v>
      </c>
      <c r="F66" s="131" t="s">
        <v>1363</v>
      </c>
      <c r="G66" s="131" t="s">
        <v>1364</v>
      </c>
      <c r="H66" s="131" t="s">
        <v>1367</v>
      </c>
      <c r="M66" s="131" t="s">
        <v>1368</v>
      </c>
      <c r="N66" s="131" t="s">
        <v>1484</v>
      </c>
      <c r="O66" s="127">
        <v>44252</v>
      </c>
      <c r="P66" s="127">
        <v>44256</v>
      </c>
      <c r="Q66" s="127">
        <v>44255</v>
      </c>
      <c r="R66" s="127">
        <v>44261</v>
      </c>
      <c r="S66" s="128">
        <v>10</v>
      </c>
      <c r="T66" s="128">
        <v>11</v>
      </c>
      <c r="U66" s="128">
        <v>0</v>
      </c>
      <c r="V66" s="129">
        <v>0</v>
      </c>
      <c r="W66" s="128">
        <v>0</v>
      </c>
      <c r="X66" s="130">
        <v>1</v>
      </c>
      <c r="Y66" s="130">
        <v>1</v>
      </c>
      <c r="Z66" s="130">
        <v>0</v>
      </c>
      <c r="AC66" s="129">
        <v>0</v>
      </c>
    </row>
    <row r="67" spans="1:29">
      <c r="A67" s="131" t="s">
        <v>1109</v>
      </c>
      <c r="B67" s="131" t="s">
        <v>1369</v>
      </c>
      <c r="C67" s="131" t="s">
        <v>1089</v>
      </c>
      <c r="D67" s="131" t="s">
        <v>1401</v>
      </c>
      <c r="E67" s="131" t="s">
        <v>1360</v>
      </c>
      <c r="F67" s="131" t="s">
        <v>1363</v>
      </c>
      <c r="G67" s="131" t="s">
        <v>1364</v>
      </c>
      <c r="H67" s="131" t="s">
        <v>1369</v>
      </c>
      <c r="M67" s="131" t="s">
        <v>1370</v>
      </c>
      <c r="N67" s="131" t="s">
        <v>1484</v>
      </c>
      <c r="O67" s="127">
        <v>44252</v>
      </c>
      <c r="P67" s="127">
        <v>44263</v>
      </c>
      <c r="Q67" s="127">
        <v>44248</v>
      </c>
      <c r="R67" s="127">
        <v>44254</v>
      </c>
      <c r="S67" s="128">
        <v>9</v>
      </c>
      <c r="T67" s="128">
        <v>10</v>
      </c>
      <c r="U67" s="128">
        <v>2</v>
      </c>
      <c r="V67" s="129">
        <v>2</v>
      </c>
      <c r="W67" s="128">
        <v>0</v>
      </c>
      <c r="X67" s="130">
        <v>1</v>
      </c>
      <c r="Y67" s="130">
        <v>1</v>
      </c>
      <c r="Z67" s="130">
        <v>0</v>
      </c>
      <c r="AC67" s="129">
        <v>0</v>
      </c>
    </row>
    <row r="68" spans="1:29">
      <c r="A68" s="131" t="s">
        <v>1109</v>
      </c>
      <c r="B68" s="131" t="s">
        <v>1369</v>
      </c>
      <c r="C68" s="131" t="s">
        <v>1089</v>
      </c>
      <c r="D68" s="131" t="s">
        <v>1401</v>
      </c>
      <c r="E68" s="131" t="s">
        <v>1360</v>
      </c>
      <c r="F68" s="131" t="s">
        <v>1363</v>
      </c>
      <c r="G68" s="131" t="s">
        <v>1364</v>
      </c>
      <c r="H68" s="131" t="s">
        <v>1369</v>
      </c>
      <c r="M68" s="131" t="s">
        <v>1370</v>
      </c>
      <c r="N68" s="131" t="s">
        <v>1484</v>
      </c>
      <c r="O68" s="127">
        <v>44252</v>
      </c>
      <c r="P68" s="127">
        <v>44263</v>
      </c>
      <c r="Q68" s="127">
        <v>44255</v>
      </c>
      <c r="R68" s="127">
        <v>44261</v>
      </c>
      <c r="S68" s="128">
        <v>10</v>
      </c>
      <c r="T68" s="128">
        <v>11</v>
      </c>
      <c r="U68" s="128">
        <v>4</v>
      </c>
      <c r="V68" s="129">
        <v>4</v>
      </c>
      <c r="W68" s="128">
        <v>0</v>
      </c>
      <c r="X68" s="130">
        <v>1</v>
      </c>
      <c r="Y68" s="130">
        <v>1</v>
      </c>
      <c r="Z68" s="130">
        <v>0</v>
      </c>
      <c r="AC68" s="129">
        <v>0</v>
      </c>
    </row>
    <row r="69" spans="1:29">
      <c r="A69" s="131" t="s">
        <v>1109</v>
      </c>
      <c r="B69" s="131" t="s">
        <v>1369</v>
      </c>
      <c r="C69" s="131" t="s">
        <v>1089</v>
      </c>
      <c r="D69" s="131" t="s">
        <v>1401</v>
      </c>
      <c r="E69" s="131" t="s">
        <v>1360</v>
      </c>
      <c r="F69" s="131" t="s">
        <v>1363</v>
      </c>
      <c r="G69" s="131" t="s">
        <v>1364</v>
      </c>
      <c r="H69" s="131" t="s">
        <v>1369</v>
      </c>
      <c r="M69" s="131" t="s">
        <v>1370</v>
      </c>
      <c r="N69" s="131" t="s">
        <v>1484</v>
      </c>
      <c r="O69" s="127">
        <v>44252</v>
      </c>
      <c r="P69" s="127">
        <v>44263</v>
      </c>
      <c r="Q69" s="127">
        <v>44262</v>
      </c>
      <c r="R69" s="127">
        <v>44268</v>
      </c>
      <c r="S69" s="128">
        <v>11</v>
      </c>
      <c r="T69" s="128">
        <v>12</v>
      </c>
      <c r="U69" s="128">
        <v>1</v>
      </c>
      <c r="V69" s="129">
        <v>1</v>
      </c>
      <c r="W69" s="128">
        <v>0</v>
      </c>
      <c r="X69" s="130">
        <v>1</v>
      </c>
      <c r="Y69" s="130">
        <v>1</v>
      </c>
      <c r="Z69" s="130">
        <v>0</v>
      </c>
      <c r="AC69" s="129">
        <v>0</v>
      </c>
    </row>
    <row r="70" spans="1:29">
      <c r="A70" s="131" t="s">
        <v>1108</v>
      </c>
      <c r="B70" s="131" t="s">
        <v>1371</v>
      </c>
      <c r="C70" s="131" t="s">
        <v>1089</v>
      </c>
      <c r="D70" s="131" t="s">
        <v>1401</v>
      </c>
      <c r="E70" s="131" t="s">
        <v>1360</v>
      </c>
      <c r="F70" s="131" t="s">
        <v>1363</v>
      </c>
      <c r="G70" s="131" t="s">
        <v>1371</v>
      </c>
      <c r="M70" s="131" t="s">
        <v>1372</v>
      </c>
      <c r="N70" s="131" t="s">
        <v>1484</v>
      </c>
      <c r="O70" s="127">
        <v>44245</v>
      </c>
      <c r="P70" s="127">
        <v>44304</v>
      </c>
      <c r="Q70" s="127">
        <v>44241</v>
      </c>
      <c r="R70" s="127">
        <v>44247</v>
      </c>
      <c r="S70" s="128">
        <v>8</v>
      </c>
      <c r="T70" s="128">
        <v>9</v>
      </c>
      <c r="U70" s="128">
        <v>2</v>
      </c>
      <c r="V70" s="129">
        <v>2</v>
      </c>
      <c r="W70" s="128">
        <v>0</v>
      </c>
      <c r="X70" s="130">
        <v>1</v>
      </c>
      <c r="Y70" s="130">
        <v>0.58536585365853655</v>
      </c>
      <c r="Z70" s="130">
        <v>0</v>
      </c>
      <c r="AC70" s="129">
        <v>0</v>
      </c>
    </row>
    <row r="71" spans="1:29">
      <c r="A71" s="131" t="s">
        <v>1108</v>
      </c>
      <c r="B71" s="131" t="s">
        <v>1371</v>
      </c>
      <c r="C71" s="131" t="s">
        <v>1089</v>
      </c>
      <c r="D71" s="131" t="s">
        <v>1401</v>
      </c>
      <c r="E71" s="131" t="s">
        <v>1360</v>
      </c>
      <c r="F71" s="131" t="s">
        <v>1363</v>
      </c>
      <c r="G71" s="131" t="s">
        <v>1371</v>
      </c>
      <c r="M71" s="131" t="s">
        <v>1372</v>
      </c>
      <c r="N71" s="131" t="s">
        <v>1484</v>
      </c>
      <c r="O71" s="127">
        <v>44245</v>
      </c>
      <c r="P71" s="127">
        <v>44304</v>
      </c>
      <c r="Q71" s="127">
        <v>44248</v>
      </c>
      <c r="R71" s="127">
        <v>44254</v>
      </c>
      <c r="S71" s="128">
        <v>9</v>
      </c>
      <c r="T71" s="128">
        <v>10</v>
      </c>
      <c r="U71" s="128">
        <v>5</v>
      </c>
      <c r="V71" s="129">
        <v>5</v>
      </c>
      <c r="W71" s="128">
        <v>0</v>
      </c>
      <c r="X71" s="130">
        <v>1</v>
      </c>
      <c r="Y71" s="130">
        <v>0.58536585365853655</v>
      </c>
      <c r="Z71" s="130">
        <v>0</v>
      </c>
      <c r="AC71" s="129">
        <v>0</v>
      </c>
    </row>
    <row r="72" spans="1:29">
      <c r="A72" s="131" t="s">
        <v>1108</v>
      </c>
      <c r="B72" s="131" t="s">
        <v>1371</v>
      </c>
      <c r="C72" s="131" t="s">
        <v>1089</v>
      </c>
      <c r="D72" s="131" t="s">
        <v>1401</v>
      </c>
      <c r="E72" s="131" t="s">
        <v>1360</v>
      </c>
      <c r="F72" s="131" t="s">
        <v>1363</v>
      </c>
      <c r="G72" s="131" t="s">
        <v>1371</v>
      </c>
      <c r="M72" s="131" t="s">
        <v>1372</v>
      </c>
      <c r="N72" s="131" t="s">
        <v>1484</v>
      </c>
      <c r="O72" s="127">
        <v>44245</v>
      </c>
      <c r="P72" s="127">
        <v>44304</v>
      </c>
      <c r="Q72" s="127">
        <v>44255</v>
      </c>
      <c r="R72" s="127">
        <v>44261</v>
      </c>
      <c r="S72" s="128">
        <v>10</v>
      </c>
      <c r="T72" s="128">
        <v>11</v>
      </c>
      <c r="U72" s="128">
        <v>4</v>
      </c>
      <c r="V72" s="129">
        <v>4</v>
      </c>
      <c r="W72" s="128">
        <v>0</v>
      </c>
      <c r="X72" s="130">
        <v>1</v>
      </c>
      <c r="Y72" s="130">
        <v>0.58536585365853655</v>
      </c>
      <c r="Z72" s="130">
        <v>0</v>
      </c>
      <c r="AC72" s="129">
        <v>0</v>
      </c>
    </row>
    <row r="73" spans="1:29">
      <c r="A73" s="131" t="s">
        <v>1108</v>
      </c>
      <c r="B73" s="131" t="s">
        <v>1371</v>
      </c>
      <c r="C73" s="131" t="s">
        <v>1089</v>
      </c>
      <c r="D73" s="131" t="s">
        <v>1401</v>
      </c>
      <c r="E73" s="131" t="s">
        <v>1360</v>
      </c>
      <c r="F73" s="131" t="s">
        <v>1363</v>
      </c>
      <c r="G73" s="131" t="s">
        <v>1371</v>
      </c>
      <c r="M73" s="131" t="s">
        <v>1372</v>
      </c>
      <c r="N73" s="131" t="s">
        <v>1484</v>
      </c>
      <c r="O73" s="127">
        <v>44245</v>
      </c>
      <c r="P73" s="127">
        <v>44304</v>
      </c>
      <c r="Q73" s="127">
        <v>44262</v>
      </c>
      <c r="R73" s="127">
        <v>44268</v>
      </c>
      <c r="S73" s="128">
        <v>11</v>
      </c>
      <c r="T73" s="128">
        <v>12</v>
      </c>
      <c r="U73" s="128">
        <v>5</v>
      </c>
      <c r="V73" s="129">
        <v>5</v>
      </c>
      <c r="W73" s="128">
        <v>0</v>
      </c>
      <c r="X73" s="130">
        <v>1</v>
      </c>
      <c r="Y73" s="130">
        <v>0.58536585365853655</v>
      </c>
      <c r="Z73" s="130">
        <v>0</v>
      </c>
      <c r="AC73" s="129">
        <v>0</v>
      </c>
    </row>
    <row r="74" spans="1:29">
      <c r="A74" s="131" t="s">
        <v>1108</v>
      </c>
      <c r="B74" s="131" t="s">
        <v>1371</v>
      </c>
      <c r="C74" s="131" t="s">
        <v>1089</v>
      </c>
      <c r="D74" s="131" t="s">
        <v>1401</v>
      </c>
      <c r="E74" s="131" t="s">
        <v>1360</v>
      </c>
      <c r="F74" s="131" t="s">
        <v>1363</v>
      </c>
      <c r="G74" s="131" t="s">
        <v>1371</v>
      </c>
      <c r="M74" s="131" t="s">
        <v>1372</v>
      </c>
      <c r="N74" s="131" t="s">
        <v>1484</v>
      </c>
      <c r="O74" s="127">
        <v>44245</v>
      </c>
      <c r="P74" s="127">
        <v>44304</v>
      </c>
      <c r="Q74" s="127">
        <v>44269</v>
      </c>
      <c r="R74" s="127">
        <v>44275</v>
      </c>
      <c r="S74" s="128">
        <v>12</v>
      </c>
      <c r="T74" s="128">
        <v>13</v>
      </c>
      <c r="U74" s="128">
        <v>5</v>
      </c>
      <c r="V74" s="129">
        <v>5</v>
      </c>
      <c r="W74" s="128">
        <v>0</v>
      </c>
      <c r="X74" s="130">
        <v>1</v>
      </c>
      <c r="Y74" s="130">
        <v>0.58536585365853655</v>
      </c>
      <c r="Z74" s="130">
        <v>0</v>
      </c>
      <c r="AC74" s="129">
        <v>0</v>
      </c>
    </row>
    <row r="75" spans="1:29">
      <c r="A75" s="131" t="s">
        <v>1108</v>
      </c>
      <c r="B75" s="131" t="s">
        <v>1371</v>
      </c>
      <c r="C75" s="131" t="s">
        <v>1089</v>
      </c>
      <c r="D75" s="131" t="s">
        <v>1401</v>
      </c>
      <c r="E75" s="131" t="s">
        <v>1360</v>
      </c>
      <c r="F75" s="131" t="s">
        <v>1363</v>
      </c>
      <c r="G75" s="131" t="s">
        <v>1371</v>
      </c>
      <c r="M75" s="131" t="s">
        <v>1372</v>
      </c>
      <c r="N75" s="131" t="s">
        <v>1484</v>
      </c>
      <c r="O75" s="127">
        <v>44245</v>
      </c>
      <c r="P75" s="127">
        <v>44304</v>
      </c>
      <c r="Q75" s="127">
        <v>44276</v>
      </c>
      <c r="R75" s="127">
        <v>44282</v>
      </c>
      <c r="S75" s="128">
        <v>13</v>
      </c>
      <c r="T75" s="128">
        <v>14</v>
      </c>
      <c r="U75" s="128">
        <v>5</v>
      </c>
      <c r="V75" s="129">
        <v>3</v>
      </c>
      <c r="W75" s="128">
        <v>0</v>
      </c>
      <c r="X75" s="130">
        <v>1</v>
      </c>
      <c r="Y75" s="130">
        <v>0.58536585365853655</v>
      </c>
      <c r="Z75" s="130">
        <v>0</v>
      </c>
      <c r="AC75" s="129">
        <v>0</v>
      </c>
    </row>
    <row r="76" spans="1:29">
      <c r="A76" s="131" t="s">
        <v>1108</v>
      </c>
      <c r="B76" s="131" t="s">
        <v>1371</v>
      </c>
      <c r="C76" s="131" t="s">
        <v>1089</v>
      </c>
      <c r="D76" s="131" t="s">
        <v>1401</v>
      </c>
      <c r="E76" s="131" t="s">
        <v>1360</v>
      </c>
      <c r="F76" s="131" t="s">
        <v>1363</v>
      </c>
      <c r="G76" s="131" t="s">
        <v>1371</v>
      </c>
      <c r="M76" s="131" t="s">
        <v>1372</v>
      </c>
      <c r="N76" s="131" t="s">
        <v>1484</v>
      </c>
      <c r="O76" s="127">
        <v>44245</v>
      </c>
      <c r="P76" s="127">
        <v>44304</v>
      </c>
      <c r="Q76" s="127">
        <v>44283</v>
      </c>
      <c r="R76" s="127">
        <v>44289</v>
      </c>
      <c r="S76" s="128">
        <v>14</v>
      </c>
      <c r="T76" s="128">
        <v>15</v>
      </c>
      <c r="U76" s="128">
        <v>5</v>
      </c>
      <c r="V76" s="129">
        <v>0</v>
      </c>
      <c r="W76" s="128">
        <v>0</v>
      </c>
      <c r="X76" s="130">
        <v>1</v>
      </c>
      <c r="Y76" s="130">
        <v>0.58536585365853655</v>
      </c>
      <c r="Z76" s="130">
        <v>0</v>
      </c>
      <c r="AC76" s="129">
        <v>0</v>
      </c>
    </row>
    <row r="77" spans="1:29">
      <c r="A77" s="131" t="s">
        <v>1108</v>
      </c>
      <c r="B77" s="131" t="s">
        <v>1371</v>
      </c>
      <c r="C77" s="131" t="s">
        <v>1089</v>
      </c>
      <c r="D77" s="131" t="s">
        <v>1401</v>
      </c>
      <c r="E77" s="131" t="s">
        <v>1360</v>
      </c>
      <c r="F77" s="131" t="s">
        <v>1363</v>
      </c>
      <c r="G77" s="131" t="s">
        <v>1371</v>
      </c>
      <c r="M77" s="131" t="s">
        <v>1372</v>
      </c>
      <c r="N77" s="131" t="s">
        <v>1484</v>
      </c>
      <c r="O77" s="127">
        <v>44245</v>
      </c>
      <c r="P77" s="127">
        <v>44304</v>
      </c>
      <c r="Q77" s="127">
        <v>44290</v>
      </c>
      <c r="R77" s="127">
        <v>44296</v>
      </c>
      <c r="S77" s="128">
        <v>15</v>
      </c>
      <c r="T77" s="128">
        <v>16</v>
      </c>
      <c r="U77" s="128">
        <v>5</v>
      </c>
      <c r="V77" s="129">
        <v>0</v>
      </c>
      <c r="W77" s="128">
        <v>0</v>
      </c>
      <c r="X77" s="130">
        <v>1</v>
      </c>
      <c r="Y77" s="130">
        <v>0.58536585365853655</v>
      </c>
      <c r="Z77" s="130">
        <v>0</v>
      </c>
      <c r="AC77" s="129">
        <v>0</v>
      </c>
    </row>
    <row r="78" spans="1:29">
      <c r="A78" s="131" t="s">
        <v>1108</v>
      </c>
      <c r="B78" s="131" t="s">
        <v>1371</v>
      </c>
      <c r="C78" s="131" t="s">
        <v>1089</v>
      </c>
      <c r="D78" s="131" t="s">
        <v>1401</v>
      </c>
      <c r="E78" s="131" t="s">
        <v>1360</v>
      </c>
      <c r="F78" s="131" t="s">
        <v>1363</v>
      </c>
      <c r="G78" s="131" t="s">
        <v>1371</v>
      </c>
      <c r="M78" s="131" t="s">
        <v>1372</v>
      </c>
      <c r="N78" s="131" t="s">
        <v>1484</v>
      </c>
      <c r="O78" s="127">
        <v>44245</v>
      </c>
      <c r="P78" s="127">
        <v>44304</v>
      </c>
      <c r="Q78" s="127">
        <v>44297</v>
      </c>
      <c r="R78" s="127">
        <v>44303</v>
      </c>
      <c r="S78" s="128">
        <v>16</v>
      </c>
      <c r="T78" s="128">
        <v>17</v>
      </c>
      <c r="U78" s="128">
        <v>5</v>
      </c>
      <c r="V78" s="129">
        <v>0</v>
      </c>
      <c r="W78" s="128">
        <v>0</v>
      </c>
      <c r="X78" s="130">
        <v>1</v>
      </c>
      <c r="Y78" s="130">
        <v>0.58536585365853655</v>
      </c>
      <c r="Z78" s="130">
        <v>0</v>
      </c>
      <c r="AC78" s="129">
        <v>0</v>
      </c>
    </row>
    <row r="79" spans="1:29">
      <c r="A79" s="131" t="s">
        <v>1108</v>
      </c>
      <c r="B79" s="131" t="s">
        <v>1371</v>
      </c>
      <c r="C79" s="131" t="s">
        <v>1089</v>
      </c>
      <c r="D79" s="131" t="s">
        <v>1401</v>
      </c>
      <c r="E79" s="131" t="s">
        <v>1360</v>
      </c>
      <c r="F79" s="131" t="s">
        <v>1363</v>
      </c>
      <c r="G79" s="131" t="s">
        <v>1371</v>
      </c>
      <c r="M79" s="131" t="s">
        <v>1372</v>
      </c>
      <c r="N79" s="131" t="s">
        <v>1484</v>
      </c>
      <c r="O79" s="127">
        <v>44245</v>
      </c>
      <c r="P79" s="127">
        <v>44304</v>
      </c>
      <c r="Q79" s="127">
        <v>44304</v>
      </c>
      <c r="R79" s="127">
        <v>44310</v>
      </c>
      <c r="S79" s="128">
        <v>17</v>
      </c>
      <c r="T79" s="128">
        <v>18</v>
      </c>
      <c r="U79" s="128">
        <v>0</v>
      </c>
      <c r="V79" s="129">
        <v>0</v>
      </c>
      <c r="W79" s="128">
        <v>0</v>
      </c>
      <c r="X79" s="130">
        <v>1</v>
      </c>
      <c r="Y79" s="130">
        <v>0.58536585365853655</v>
      </c>
      <c r="Z79" s="130">
        <v>0</v>
      </c>
      <c r="AC79" s="129">
        <v>0</v>
      </c>
    </row>
    <row r="80" spans="1:29">
      <c r="A80" s="131" t="s">
        <v>1108</v>
      </c>
      <c r="B80" s="131" t="s">
        <v>1373</v>
      </c>
      <c r="C80" s="131" t="s">
        <v>1089</v>
      </c>
      <c r="D80" s="131" t="s">
        <v>1401</v>
      </c>
      <c r="E80" s="131" t="s">
        <v>1360</v>
      </c>
      <c r="F80" s="131" t="s">
        <v>1363</v>
      </c>
      <c r="G80" s="131" t="s">
        <v>1373</v>
      </c>
      <c r="M80" s="131" t="s">
        <v>1374</v>
      </c>
      <c r="N80" s="131" t="s">
        <v>1484</v>
      </c>
      <c r="O80" s="127">
        <v>44245</v>
      </c>
      <c r="P80" s="127">
        <v>44304</v>
      </c>
      <c r="Q80" s="127">
        <v>44241</v>
      </c>
      <c r="R80" s="127">
        <v>44247</v>
      </c>
      <c r="S80" s="128">
        <v>8</v>
      </c>
      <c r="T80" s="128">
        <v>9</v>
      </c>
      <c r="U80" s="128">
        <v>2</v>
      </c>
      <c r="V80" s="129">
        <v>2</v>
      </c>
      <c r="W80" s="128">
        <v>0</v>
      </c>
      <c r="X80" s="130">
        <v>1</v>
      </c>
      <c r="Y80" s="130">
        <v>0.58536585365853655</v>
      </c>
      <c r="Z80" s="130">
        <v>0</v>
      </c>
      <c r="AC80" s="129">
        <v>0</v>
      </c>
    </row>
    <row r="81" spans="1:29">
      <c r="A81" s="131" t="s">
        <v>1108</v>
      </c>
      <c r="B81" s="131" t="s">
        <v>1373</v>
      </c>
      <c r="C81" s="131" t="s">
        <v>1089</v>
      </c>
      <c r="D81" s="131" t="s">
        <v>1401</v>
      </c>
      <c r="E81" s="131" t="s">
        <v>1360</v>
      </c>
      <c r="F81" s="131" t="s">
        <v>1363</v>
      </c>
      <c r="G81" s="131" t="s">
        <v>1373</v>
      </c>
      <c r="M81" s="131" t="s">
        <v>1374</v>
      </c>
      <c r="N81" s="131" t="s">
        <v>1484</v>
      </c>
      <c r="O81" s="127">
        <v>44245</v>
      </c>
      <c r="P81" s="127">
        <v>44304</v>
      </c>
      <c r="Q81" s="127">
        <v>44248</v>
      </c>
      <c r="R81" s="127">
        <v>44254</v>
      </c>
      <c r="S81" s="128">
        <v>9</v>
      </c>
      <c r="T81" s="128">
        <v>10</v>
      </c>
      <c r="U81" s="128">
        <v>5</v>
      </c>
      <c r="V81" s="129">
        <v>5</v>
      </c>
      <c r="W81" s="128">
        <v>0</v>
      </c>
      <c r="X81" s="130">
        <v>1</v>
      </c>
      <c r="Y81" s="130">
        <v>0.58536585365853655</v>
      </c>
      <c r="Z81" s="130">
        <v>0</v>
      </c>
      <c r="AC81" s="129">
        <v>0</v>
      </c>
    </row>
    <row r="82" spans="1:29">
      <c r="A82" s="131" t="s">
        <v>1108</v>
      </c>
      <c r="B82" s="131" t="s">
        <v>1373</v>
      </c>
      <c r="C82" s="131" t="s">
        <v>1089</v>
      </c>
      <c r="D82" s="131" t="s">
        <v>1401</v>
      </c>
      <c r="E82" s="131" t="s">
        <v>1360</v>
      </c>
      <c r="F82" s="131" t="s">
        <v>1363</v>
      </c>
      <c r="G82" s="131" t="s">
        <v>1373</v>
      </c>
      <c r="M82" s="131" t="s">
        <v>1374</v>
      </c>
      <c r="N82" s="131" t="s">
        <v>1484</v>
      </c>
      <c r="O82" s="127">
        <v>44245</v>
      </c>
      <c r="P82" s="127">
        <v>44304</v>
      </c>
      <c r="Q82" s="127">
        <v>44255</v>
      </c>
      <c r="R82" s="127">
        <v>44261</v>
      </c>
      <c r="S82" s="128">
        <v>10</v>
      </c>
      <c r="T82" s="128">
        <v>11</v>
      </c>
      <c r="U82" s="128">
        <v>4</v>
      </c>
      <c r="V82" s="129">
        <v>4</v>
      </c>
      <c r="W82" s="128">
        <v>0</v>
      </c>
      <c r="X82" s="130">
        <v>1</v>
      </c>
      <c r="Y82" s="130">
        <v>0.58536585365853655</v>
      </c>
      <c r="Z82" s="130">
        <v>0</v>
      </c>
      <c r="AC82" s="129">
        <v>0</v>
      </c>
    </row>
    <row r="83" spans="1:29">
      <c r="A83" s="131" t="s">
        <v>1108</v>
      </c>
      <c r="B83" s="131" t="s">
        <v>1373</v>
      </c>
      <c r="C83" s="131" t="s">
        <v>1089</v>
      </c>
      <c r="D83" s="131" t="s">
        <v>1401</v>
      </c>
      <c r="E83" s="131" t="s">
        <v>1360</v>
      </c>
      <c r="F83" s="131" t="s">
        <v>1363</v>
      </c>
      <c r="G83" s="131" t="s">
        <v>1373</v>
      </c>
      <c r="M83" s="131" t="s">
        <v>1374</v>
      </c>
      <c r="N83" s="131" t="s">
        <v>1484</v>
      </c>
      <c r="O83" s="127">
        <v>44245</v>
      </c>
      <c r="P83" s="127">
        <v>44304</v>
      </c>
      <c r="Q83" s="127">
        <v>44262</v>
      </c>
      <c r="R83" s="127">
        <v>44268</v>
      </c>
      <c r="S83" s="128">
        <v>11</v>
      </c>
      <c r="T83" s="128">
        <v>12</v>
      </c>
      <c r="U83" s="128">
        <v>5</v>
      </c>
      <c r="V83" s="129">
        <v>5</v>
      </c>
      <c r="W83" s="128">
        <v>0</v>
      </c>
      <c r="X83" s="130">
        <v>1</v>
      </c>
      <c r="Y83" s="130">
        <v>0.58536585365853655</v>
      </c>
      <c r="Z83" s="130">
        <v>0</v>
      </c>
      <c r="AC83" s="129">
        <v>0</v>
      </c>
    </row>
    <row r="84" spans="1:29">
      <c r="A84" s="131" t="s">
        <v>1108</v>
      </c>
      <c r="B84" s="131" t="s">
        <v>1373</v>
      </c>
      <c r="C84" s="131" t="s">
        <v>1089</v>
      </c>
      <c r="D84" s="131" t="s">
        <v>1401</v>
      </c>
      <c r="E84" s="131" t="s">
        <v>1360</v>
      </c>
      <c r="F84" s="131" t="s">
        <v>1363</v>
      </c>
      <c r="G84" s="131" t="s">
        <v>1373</v>
      </c>
      <c r="M84" s="131" t="s">
        <v>1374</v>
      </c>
      <c r="N84" s="131" t="s">
        <v>1484</v>
      </c>
      <c r="O84" s="127">
        <v>44245</v>
      </c>
      <c r="P84" s="127">
        <v>44304</v>
      </c>
      <c r="Q84" s="127">
        <v>44269</v>
      </c>
      <c r="R84" s="127">
        <v>44275</v>
      </c>
      <c r="S84" s="128">
        <v>12</v>
      </c>
      <c r="T84" s="128">
        <v>13</v>
      </c>
      <c r="U84" s="128">
        <v>5</v>
      </c>
      <c r="V84" s="129">
        <v>5</v>
      </c>
      <c r="W84" s="128">
        <v>0</v>
      </c>
      <c r="X84" s="130">
        <v>1</v>
      </c>
      <c r="Y84" s="130">
        <v>0.58536585365853655</v>
      </c>
      <c r="Z84" s="130">
        <v>0</v>
      </c>
      <c r="AC84" s="129">
        <v>0</v>
      </c>
    </row>
    <row r="85" spans="1:29">
      <c r="A85" s="131" t="s">
        <v>1108</v>
      </c>
      <c r="B85" s="131" t="s">
        <v>1373</v>
      </c>
      <c r="C85" s="131" t="s">
        <v>1089</v>
      </c>
      <c r="D85" s="131" t="s">
        <v>1401</v>
      </c>
      <c r="E85" s="131" t="s">
        <v>1360</v>
      </c>
      <c r="F85" s="131" t="s">
        <v>1363</v>
      </c>
      <c r="G85" s="131" t="s">
        <v>1373</v>
      </c>
      <c r="M85" s="131" t="s">
        <v>1374</v>
      </c>
      <c r="N85" s="131" t="s">
        <v>1484</v>
      </c>
      <c r="O85" s="127">
        <v>44245</v>
      </c>
      <c r="P85" s="127">
        <v>44304</v>
      </c>
      <c r="Q85" s="127">
        <v>44276</v>
      </c>
      <c r="R85" s="127">
        <v>44282</v>
      </c>
      <c r="S85" s="128">
        <v>13</v>
      </c>
      <c r="T85" s="128">
        <v>14</v>
      </c>
      <c r="U85" s="128">
        <v>5</v>
      </c>
      <c r="V85" s="129">
        <v>3</v>
      </c>
      <c r="W85" s="128">
        <v>0</v>
      </c>
      <c r="X85" s="130">
        <v>1</v>
      </c>
      <c r="Y85" s="130">
        <v>0.58536585365853655</v>
      </c>
      <c r="Z85" s="130">
        <v>0</v>
      </c>
      <c r="AC85" s="129">
        <v>0</v>
      </c>
    </row>
    <row r="86" spans="1:29">
      <c r="A86" s="131" t="s">
        <v>1108</v>
      </c>
      <c r="B86" s="131" t="s">
        <v>1373</v>
      </c>
      <c r="C86" s="131" t="s">
        <v>1089</v>
      </c>
      <c r="D86" s="131" t="s">
        <v>1401</v>
      </c>
      <c r="E86" s="131" t="s">
        <v>1360</v>
      </c>
      <c r="F86" s="131" t="s">
        <v>1363</v>
      </c>
      <c r="G86" s="131" t="s">
        <v>1373</v>
      </c>
      <c r="M86" s="131" t="s">
        <v>1374</v>
      </c>
      <c r="N86" s="131" t="s">
        <v>1484</v>
      </c>
      <c r="O86" s="127">
        <v>44245</v>
      </c>
      <c r="P86" s="127">
        <v>44304</v>
      </c>
      <c r="Q86" s="127">
        <v>44283</v>
      </c>
      <c r="R86" s="127">
        <v>44289</v>
      </c>
      <c r="S86" s="128">
        <v>14</v>
      </c>
      <c r="T86" s="128">
        <v>15</v>
      </c>
      <c r="U86" s="128">
        <v>5</v>
      </c>
      <c r="V86" s="129">
        <v>0</v>
      </c>
      <c r="W86" s="128">
        <v>0</v>
      </c>
      <c r="X86" s="130">
        <v>1</v>
      </c>
      <c r="Y86" s="130">
        <v>0.58536585365853655</v>
      </c>
      <c r="Z86" s="130">
        <v>0</v>
      </c>
      <c r="AC86" s="129">
        <v>0</v>
      </c>
    </row>
    <row r="87" spans="1:29">
      <c r="A87" s="131" t="s">
        <v>1108</v>
      </c>
      <c r="B87" s="131" t="s">
        <v>1373</v>
      </c>
      <c r="C87" s="131" t="s">
        <v>1089</v>
      </c>
      <c r="D87" s="131" t="s">
        <v>1401</v>
      </c>
      <c r="E87" s="131" t="s">
        <v>1360</v>
      </c>
      <c r="F87" s="131" t="s">
        <v>1363</v>
      </c>
      <c r="G87" s="131" t="s">
        <v>1373</v>
      </c>
      <c r="M87" s="131" t="s">
        <v>1374</v>
      </c>
      <c r="N87" s="131" t="s">
        <v>1484</v>
      </c>
      <c r="O87" s="127">
        <v>44245</v>
      </c>
      <c r="P87" s="127">
        <v>44304</v>
      </c>
      <c r="Q87" s="127">
        <v>44290</v>
      </c>
      <c r="R87" s="127">
        <v>44296</v>
      </c>
      <c r="S87" s="128">
        <v>15</v>
      </c>
      <c r="T87" s="128">
        <v>16</v>
      </c>
      <c r="U87" s="128">
        <v>5</v>
      </c>
      <c r="V87" s="129">
        <v>0</v>
      </c>
      <c r="W87" s="128">
        <v>0</v>
      </c>
      <c r="X87" s="130">
        <v>1</v>
      </c>
      <c r="Y87" s="130">
        <v>0.58536585365853655</v>
      </c>
      <c r="Z87" s="130">
        <v>0</v>
      </c>
      <c r="AC87" s="129">
        <v>0</v>
      </c>
    </row>
    <row r="88" spans="1:29">
      <c r="A88" s="131" t="s">
        <v>1108</v>
      </c>
      <c r="B88" s="131" t="s">
        <v>1373</v>
      </c>
      <c r="C88" s="131" t="s">
        <v>1089</v>
      </c>
      <c r="D88" s="131" t="s">
        <v>1401</v>
      </c>
      <c r="E88" s="131" t="s">
        <v>1360</v>
      </c>
      <c r="F88" s="131" t="s">
        <v>1363</v>
      </c>
      <c r="G88" s="131" t="s">
        <v>1373</v>
      </c>
      <c r="M88" s="131" t="s">
        <v>1374</v>
      </c>
      <c r="N88" s="131" t="s">
        <v>1484</v>
      </c>
      <c r="O88" s="127">
        <v>44245</v>
      </c>
      <c r="P88" s="127">
        <v>44304</v>
      </c>
      <c r="Q88" s="127">
        <v>44297</v>
      </c>
      <c r="R88" s="127">
        <v>44303</v>
      </c>
      <c r="S88" s="128">
        <v>16</v>
      </c>
      <c r="T88" s="128">
        <v>17</v>
      </c>
      <c r="U88" s="128">
        <v>5</v>
      </c>
      <c r="V88" s="129">
        <v>0</v>
      </c>
      <c r="W88" s="128">
        <v>0</v>
      </c>
      <c r="X88" s="130">
        <v>1</v>
      </c>
      <c r="Y88" s="130">
        <v>0.58536585365853655</v>
      </c>
      <c r="Z88" s="130">
        <v>0</v>
      </c>
      <c r="AC88" s="129">
        <v>0</v>
      </c>
    </row>
    <row r="89" spans="1:29">
      <c r="A89" s="131" t="s">
        <v>1108</v>
      </c>
      <c r="B89" s="131" t="s">
        <v>1373</v>
      </c>
      <c r="C89" s="131" t="s">
        <v>1089</v>
      </c>
      <c r="D89" s="131" t="s">
        <v>1401</v>
      </c>
      <c r="E89" s="131" t="s">
        <v>1360</v>
      </c>
      <c r="F89" s="131" t="s">
        <v>1363</v>
      </c>
      <c r="G89" s="131" t="s">
        <v>1373</v>
      </c>
      <c r="M89" s="131" t="s">
        <v>1374</v>
      </c>
      <c r="N89" s="131" t="s">
        <v>1484</v>
      </c>
      <c r="O89" s="127">
        <v>44245</v>
      </c>
      <c r="P89" s="127">
        <v>44304</v>
      </c>
      <c r="Q89" s="127">
        <v>44304</v>
      </c>
      <c r="R89" s="127">
        <v>44310</v>
      </c>
      <c r="S89" s="128">
        <v>17</v>
      </c>
      <c r="T89" s="128">
        <v>18</v>
      </c>
      <c r="U89" s="128">
        <v>0</v>
      </c>
      <c r="V89" s="129">
        <v>0</v>
      </c>
      <c r="W89" s="128">
        <v>0</v>
      </c>
      <c r="X89" s="130">
        <v>1</v>
      </c>
      <c r="Y89" s="130">
        <v>0.58536585365853655</v>
      </c>
      <c r="Z89" s="130">
        <v>0</v>
      </c>
      <c r="AC89" s="129">
        <v>0</v>
      </c>
    </row>
    <row r="90" spans="1:29">
      <c r="A90" s="131" t="s">
        <v>1108</v>
      </c>
      <c r="B90" s="131" t="s">
        <v>1375</v>
      </c>
      <c r="C90" s="131" t="s">
        <v>1089</v>
      </c>
      <c r="D90" s="131" t="s">
        <v>1401</v>
      </c>
      <c r="E90" s="131" t="s">
        <v>1360</v>
      </c>
      <c r="F90" s="131" t="s">
        <v>1363</v>
      </c>
      <c r="G90" s="131" t="s">
        <v>1375</v>
      </c>
      <c r="M90" s="131" t="s">
        <v>1376</v>
      </c>
      <c r="N90" s="131" t="s">
        <v>1484</v>
      </c>
      <c r="O90" s="127">
        <v>44259</v>
      </c>
      <c r="P90" s="127">
        <v>44304</v>
      </c>
      <c r="Q90" s="127">
        <v>44255</v>
      </c>
      <c r="R90" s="127">
        <v>44261</v>
      </c>
      <c r="S90" s="128">
        <v>10</v>
      </c>
      <c r="T90" s="128">
        <v>11</v>
      </c>
      <c r="U90" s="128">
        <v>2</v>
      </c>
      <c r="V90" s="129">
        <v>2</v>
      </c>
      <c r="W90" s="128">
        <v>0</v>
      </c>
      <c r="X90" s="130">
        <v>1</v>
      </c>
      <c r="Y90" s="130">
        <v>0.46875</v>
      </c>
      <c r="Z90" s="130">
        <v>0</v>
      </c>
      <c r="AC90" s="129">
        <v>0</v>
      </c>
    </row>
    <row r="91" spans="1:29">
      <c r="A91" s="131" t="s">
        <v>1108</v>
      </c>
      <c r="B91" s="131" t="s">
        <v>1375</v>
      </c>
      <c r="C91" s="131" t="s">
        <v>1089</v>
      </c>
      <c r="D91" s="131" t="s">
        <v>1401</v>
      </c>
      <c r="E91" s="131" t="s">
        <v>1360</v>
      </c>
      <c r="F91" s="131" t="s">
        <v>1363</v>
      </c>
      <c r="G91" s="131" t="s">
        <v>1375</v>
      </c>
      <c r="M91" s="131" t="s">
        <v>1376</v>
      </c>
      <c r="N91" s="131" t="s">
        <v>1484</v>
      </c>
      <c r="O91" s="127">
        <v>44259</v>
      </c>
      <c r="P91" s="127">
        <v>44304</v>
      </c>
      <c r="Q91" s="127">
        <v>44262</v>
      </c>
      <c r="R91" s="127">
        <v>44268</v>
      </c>
      <c r="S91" s="128">
        <v>11</v>
      </c>
      <c r="T91" s="128">
        <v>12</v>
      </c>
      <c r="U91" s="128">
        <v>5</v>
      </c>
      <c r="V91" s="129">
        <v>5</v>
      </c>
      <c r="W91" s="128">
        <v>0</v>
      </c>
      <c r="X91" s="130">
        <v>1</v>
      </c>
      <c r="Y91" s="130">
        <v>0.46875</v>
      </c>
      <c r="Z91" s="130">
        <v>0</v>
      </c>
      <c r="AC91" s="129">
        <v>0</v>
      </c>
    </row>
    <row r="92" spans="1:29">
      <c r="A92" s="131" t="s">
        <v>1108</v>
      </c>
      <c r="B92" s="131" t="s">
        <v>1375</v>
      </c>
      <c r="C92" s="131" t="s">
        <v>1089</v>
      </c>
      <c r="D92" s="131" t="s">
        <v>1401</v>
      </c>
      <c r="E92" s="131" t="s">
        <v>1360</v>
      </c>
      <c r="F92" s="131" t="s">
        <v>1363</v>
      </c>
      <c r="G92" s="131" t="s">
        <v>1375</v>
      </c>
      <c r="M92" s="131" t="s">
        <v>1376</v>
      </c>
      <c r="N92" s="131" t="s">
        <v>1484</v>
      </c>
      <c r="O92" s="127">
        <v>44259</v>
      </c>
      <c r="P92" s="127">
        <v>44304</v>
      </c>
      <c r="Q92" s="127">
        <v>44269</v>
      </c>
      <c r="R92" s="127">
        <v>44275</v>
      </c>
      <c r="S92" s="128">
        <v>12</v>
      </c>
      <c r="T92" s="128">
        <v>13</v>
      </c>
      <c r="U92" s="128">
        <v>5</v>
      </c>
      <c r="V92" s="129">
        <v>5</v>
      </c>
      <c r="W92" s="128">
        <v>0</v>
      </c>
      <c r="X92" s="130">
        <v>1</v>
      </c>
      <c r="Y92" s="130">
        <v>0.46875</v>
      </c>
      <c r="Z92" s="130">
        <v>0</v>
      </c>
      <c r="AC92" s="129">
        <v>0</v>
      </c>
    </row>
    <row r="93" spans="1:29">
      <c r="A93" s="131" t="s">
        <v>1108</v>
      </c>
      <c r="B93" s="131" t="s">
        <v>1375</v>
      </c>
      <c r="C93" s="131" t="s">
        <v>1089</v>
      </c>
      <c r="D93" s="131" t="s">
        <v>1401</v>
      </c>
      <c r="E93" s="131" t="s">
        <v>1360</v>
      </c>
      <c r="F93" s="131" t="s">
        <v>1363</v>
      </c>
      <c r="G93" s="131" t="s">
        <v>1375</v>
      </c>
      <c r="M93" s="131" t="s">
        <v>1376</v>
      </c>
      <c r="N93" s="131" t="s">
        <v>1484</v>
      </c>
      <c r="O93" s="127">
        <v>44259</v>
      </c>
      <c r="P93" s="127">
        <v>44304</v>
      </c>
      <c r="Q93" s="127">
        <v>44276</v>
      </c>
      <c r="R93" s="127">
        <v>44282</v>
      </c>
      <c r="S93" s="128">
        <v>13</v>
      </c>
      <c r="T93" s="128">
        <v>14</v>
      </c>
      <c r="U93" s="128">
        <v>5</v>
      </c>
      <c r="V93" s="129">
        <v>3</v>
      </c>
      <c r="W93" s="128">
        <v>0</v>
      </c>
      <c r="X93" s="130">
        <v>1</v>
      </c>
      <c r="Y93" s="130">
        <v>0.46875</v>
      </c>
      <c r="Z93" s="130">
        <v>0</v>
      </c>
      <c r="AC93" s="129">
        <v>0</v>
      </c>
    </row>
    <row r="94" spans="1:29">
      <c r="A94" s="131" t="s">
        <v>1108</v>
      </c>
      <c r="B94" s="131" t="s">
        <v>1375</v>
      </c>
      <c r="C94" s="131" t="s">
        <v>1089</v>
      </c>
      <c r="D94" s="131" t="s">
        <v>1401</v>
      </c>
      <c r="E94" s="131" t="s">
        <v>1360</v>
      </c>
      <c r="F94" s="131" t="s">
        <v>1363</v>
      </c>
      <c r="G94" s="131" t="s">
        <v>1375</v>
      </c>
      <c r="M94" s="131" t="s">
        <v>1376</v>
      </c>
      <c r="N94" s="131" t="s">
        <v>1484</v>
      </c>
      <c r="O94" s="127">
        <v>44259</v>
      </c>
      <c r="P94" s="127">
        <v>44304</v>
      </c>
      <c r="Q94" s="127">
        <v>44283</v>
      </c>
      <c r="R94" s="127">
        <v>44289</v>
      </c>
      <c r="S94" s="128">
        <v>14</v>
      </c>
      <c r="T94" s="128">
        <v>15</v>
      </c>
      <c r="U94" s="128">
        <v>5</v>
      </c>
      <c r="V94" s="129">
        <v>0</v>
      </c>
      <c r="W94" s="128">
        <v>0</v>
      </c>
      <c r="X94" s="130">
        <v>1</v>
      </c>
      <c r="Y94" s="130">
        <v>0.46875</v>
      </c>
      <c r="Z94" s="130">
        <v>0</v>
      </c>
      <c r="AC94" s="129">
        <v>0</v>
      </c>
    </row>
    <row r="95" spans="1:29">
      <c r="A95" s="131" t="s">
        <v>1108</v>
      </c>
      <c r="B95" s="131" t="s">
        <v>1375</v>
      </c>
      <c r="C95" s="131" t="s">
        <v>1089</v>
      </c>
      <c r="D95" s="131" t="s">
        <v>1401</v>
      </c>
      <c r="E95" s="131" t="s">
        <v>1360</v>
      </c>
      <c r="F95" s="131" t="s">
        <v>1363</v>
      </c>
      <c r="G95" s="131" t="s">
        <v>1375</v>
      </c>
      <c r="M95" s="131" t="s">
        <v>1376</v>
      </c>
      <c r="N95" s="131" t="s">
        <v>1484</v>
      </c>
      <c r="O95" s="127">
        <v>44259</v>
      </c>
      <c r="P95" s="127">
        <v>44304</v>
      </c>
      <c r="Q95" s="127">
        <v>44290</v>
      </c>
      <c r="R95" s="127">
        <v>44296</v>
      </c>
      <c r="S95" s="128">
        <v>15</v>
      </c>
      <c r="T95" s="128">
        <v>16</v>
      </c>
      <c r="U95" s="128">
        <v>5</v>
      </c>
      <c r="V95" s="129">
        <v>0</v>
      </c>
      <c r="W95" s="128">
        <v>0</v>
      </c>
      <c r="X95" s="130">
        <v>1</v>
      </c>
      <c r="Y95" s="130">
        <v>0.46875</v>
      </c>
      <c r="Z95" s="130">
        <v>0</v>
      </c>
      <c r="AC95" s="129">
        <v>0</v>
      </c>
    </row>
    <row r="96" spans="1:29">
      <c r="A96" s="131" t="s">
        <v>1108</v>
      </c>
      <c r="B96" s="131" t="s">
        <v>1375</v>
      </c>
      <c r="C96" s="131" t="s">
        <v>1089</v>
      </c>
      <c r="D96" s="131" t="s">
        <v>1401</v>
      </c>
      <c r="E96" s="131" t="s">
        <v>1360</v>
      </c>
      <c r="F96" s="131" t="s">
        <v>1363</v>
      </c>
      <c r="G96" s="131" t="s">
        <v>1375</v>
      </c>
      <c r="M96" s="131" t="s">
        <v>1376</v>
      </c>
      <c r="N96" s="131" t="s">
        <v>1484</v>
      </c>
      <c r="O96" s="127">
        <v>44259</v>
      </c>
      <c r="P96" s="127">
        <v>44304</v>
      </c>
      <c r="Q96" s="127">
        <v>44297</v>
      </c>
      <c r="R96" s="127">
        <v>44303</v>
      </c>
      <c r="S96" s="128">
        <v>16</v>
      </c>
      <c r="T96" s="128">
        <v>17</v>
      </c>
      <c r="U96" s="128">
        <v>5</v>
      </c>
      <c r="V96" s="129">
        <v>0</v>
      </c>
      <c r="W96" s="128">
        <v>0</v>
      </c>
      <c r="X96" s="130">
        <v>1</v>
      </c>
      <c r="Y96" s="130">
        <v>0.46875</v>
      </c>
      <c r="Z96" s="130">
        <v>0</v>
      </c>
      <c r="AC96" s="129">
        <v>0</v>
      </c>
    </row>
    <row r="97" spans="1:29">
      <c r="A97" s="131" t="s">
        <v>1108</v>
      </c>
      <c r="B97" s="131" t="s">
        <v>1375</v>
      </c>
      <c r="C97" s="131" t="s">
        <v>1089</v>
      </c>
      <c r="D97" s="131" t="s">
        <v>1401</v>
      </c>
      <c r="E97" s="131" t="s">
        <v>1360</v>
      </c>
      <c r="F97" s="131" t="s">
        <v>1363</v>
      </c>
      <c r="G97" s="131" t="s">
        <v>1375</v>
      </c>
      <c r="M97" s="131" t="s">
        <v>1376</v>
      </c>
      <c r="N97" s="131" t="s">
        <v>1484</v>
      </c>
      <c r="O97" s="127">
        <v>44259</v>
      </c>
      <c r="P97" s="127">
        <v>44304</v>
      </c>
      <c r="Q97" s="127">
        <v>44304</v>
      </c>
      <c r="R97" s="127">
        <v>44310</v>
      </c>
      <c r="S97" s="128">
        <v>17</v>
      </c>
      <c r="T97" s="128">
        <v>18</v>
      </c>
      <c r="U97" s="128">
        <v>0</v>
      </c>
      <c r="V97" s="129">
        <v>0</v>
      </c>
      <c r="W97" s="128">
        <v>0</v>
      </c>
      <c r="X97" s="130">
        <v>1</v>
      </c>
      <c r="Y97" s="130">
        <v>0.46875</v>
      </c>
      <c r="Z97" s="130">
        <v>0</v>
      </c>
      <c r="AC97" s="129">
        <v>0</v>
      </c>
    </row>
    <row r="98" spans="1:29">
      <c r="A98" s="131" t="s">
        <v>1107</v>
      </c>
      <c r="B98" s="131" t="s">
        <v>1378</v>
      </c>
      <c r="C98" s="131" t="s">
        <v>1089</v>
      </c>
      <c r="D98" s="131" t="s">
        <v>1401</v>
      </c>
      <c r="E98" s="131" t="s">
        <v>1377</v>
      </c>
      <c r="F98" s="131" t="s">
        <v>1378</v>
      </c>
      <c r="M98" s="131" t="s">
        <v>1379</v>
      </c>
      <c r="N98" s="131" t="s">
        <v>1484</v>
      </c>
      <c r="O98" s="127">
        <v>44287</v>
      </c>
      <c r="P98" s="127">
        <v>44305</v>
      </c>
      <c r="Q98" s="127">
        <v>44283</v>
      </c>
      <c r="R98" s="127">
        <v>44289</v>
      </c>
      <c r="S98" s="128">
        <v>14</v>
      </c>
      <c r="T98" s="128">
        <v>15</v>
      </c>
      <c r="U98" s="128">
        <v>2</v>
      </c>
      <c r="V98" s="129">
        <v>0</v>
      </c>
      <c r="W98" s="128">
        <v>0</v>
      </c>
      <c r="X98" s="130">
        <v>1</v>
      </c>
      <c r="Y98" s="130">
        <v>0</v>
      </c>
      <c r="Z98" s="130">
        <v>0</v>
      </c>
      <c r="AC98" s="129">
        <v>0</v>
      </c>
    </row>
    <row r="99" spans="1:29">
      <c r="A99" s="131" t="s">
        <v>1107</v>
      </c>
      <c r="B99" s="131" t="s">
        <v>1378</v>
      </c>
      <c r="C99" s="131" t="s">
        <v>1089</v>
      </c>
      <c r="D99" s="131" t="s">
        <v>1401</v>
      </c>
      <c r="E99" s="131" t="s">
        <v>1377</v>
      </c>
      <c r="F99" s="131" t="s">
        <v>1378</v>
      </c>
      <c r="M99" s="131" t="s">
        <v>1379</v>
      </c>
      <c r="N99" s="131" t="s">
        <v>1484</v>
      </c>
      <c r="O99" s="127">
        <v>44287</v>
      </c>
      <c r="P99" s="127">
        <v>44305</v>
      </c>
      <c r="Q99" s="127">
        <v>44290</v>
      </c>
      <c r="R99" s="127">
        <v>44296</v>
      </c>
      <c r="S99" s="128">
        <v>15</v>
      </c>
      <c r="T99" s="128">
        <v>16</v>
      </c>
      <c r="U99" s="128">
        <v>5</v>
      </c>
      <c r="V99" s="129">
        <v>0</v>
      </c>
      <c r="W99" s="128">
        <v>0</v>
      </c>
      <c r="X99" s="130">
        <v>1</v>
      </c>
      <c r="Y99" s="130">
        <v>0</v>
      </c>
      <c r="Z99" s="130">
        <v>0</v>
      </c>
      <c r="AC99" s="129">
        <v>0</v>
      </c>
    </row>
    <row r="100" spans="1:29">
      <c r="A100" s="131" t="s">
        <v>1107</v>
      </c>
      <c r="B100" s="131" t="s">
        <v>1378</v>
      </c>
      <c r="C100" s="131" t="s">
        <v>1089</v>
      </c>
      <c r="D100" s="131" t="s">
        <v>1401</v>
      </c>
      <c r="E100" s="131" t="s">
        <v>1377</v>
      </c>
      <c r="F100" s="131" t="s">
        <v>1378</v>
      </c>
      <c r="M100" s="131" t="s">
        <v>1379</v>
      </c>
      <c r="N100" s="131" t="s">
        <v>1484</v>
      </c>
      <c r="O100" s="127">
        <v>44287</v>
      </c>
      <c r="P100" s="127">
        <v>44305</v>
      </c>
      <c r="Q100" s="127">
        <v>44297</v>
      </c>
      <c r="R100" s="127">
        <v>44303</v>
      </c>
      <c r="S100" s="128">
        <v>16</v>
      </c>
      <c r="T100" s="128">
        <v>17</v>
      </c>
      <c r="U100" s="128">
        <v>5</v>
      </c>
      <c r="V100" s="129">
        <v>0</v>
      </c>
      <c r="W100" s="128">
        <v>0</v>
      </c>
      <c r="X100" s="130">
        <v>1</v>
      </c>
      <c r="Y100" s="130">
        <v>0</v>
      </c>
      <c r="Z100" s="130">
        <v>0</v>
      </c>
      <c r="AC100" s="129">
        <v>0</v>
      </c>
    </row>
    <row r="101" spans="1:29">
      <c r="A101" s="131" t="s">
        <v>1107</v>
      </c>
      <c r="B101" s="131" t="s">
        <v>1378</v>
      </c>
      <c r="C101" s="131" t="s">
        <v>1089</v>
      </c>
      <c r="D101" s="131" t="s">
        <v>1401</v>
      </c>
      <c r="E101" s="131" t="s">
        <v>1377</v>
      </c>
      <c r="F101" s="131" t="s">
        <v>1378</v>
      </c>
      <c r="M101" s="131" t="s">
        <v>1379</v>
      </c>
      <c r="N101" s="131" t="s">
        <v>1484</v>
      </c>
      <c r="O101" s="127">
        <v>44287</v>
      </c>
      <c r="P101" s="127">
        <v>44305</v>
      </c>
      <c r="Q101" s="127">
        <v>44304</v>
      </c>
      <c r="R101" s="127">
        <v>44310</v>
      </c>
      <c r="S101" s="128">
        <v>17</v>
      </c>
      <c r="T101" s="128">
        <v>18</v>
      </c>
      <c r="U101" s="128">
        <v>1</v>
      </c>
      <c r="V101" s="129">
        <v>0</v>
      </c>
      <c r="W101" s="128">
        <v>0</v>
      </c>
      <c r="X101" s="130">
        <v>1</v>
      </c>
      <c r="Y101" s="130">
        <v>0</v>
      </c>
      <c r="Z101" s="130">
        <v>0</v>
      </c>
      <c r="AC101" s="129">
        <v>0</v>
      </c>
    </row>
    <row r="102" spans="1:29">
      <c r="A102" s="131" t="s">
        <v>1107</v>
      </c>
      <c r="B102" s="131" t="s">
        <v>1380</v>
      </c>
      <c r="C102" s="131" t="s">
        <v>1089</v>
      </c>
      <c r="D102" s="131" t="s">
        <v>1401</v>
      </c>
      <c r="E102" s="131" t="s">
        <v>1377</v>
      </c>
      <c r="F102" s="131" t="s">
        <v>1380</v>
      </c>
      <c r="M102" s="131" t="s">
        <v>1381</v>
      </c>
      <c r="N102" s="131" t="s">
        <v>1484</v>
      </c>
      <c r="O102" s="127">
        <v>44308</v>
      </c>
      <c r="P102" s="127">
        <v>44312</v>
      </c>
      <c r="Q102" s="127">
        <v>44304</v>
      </c>
      <c r="R102" s="127">
        <v>44310</v>
      </c>
      <c r="S102" s="128">
        <v>17</v>
      </c>
      <c r="T102" s="128">
        <v>18</v>
      </c>
      <c r="U102" s="128">
        <v>2</v>
      </c>
      <c r="V102" s="129">
        <v>0</v>
      </c>
      <c r="W102" s="128">
        <v>0</v>
      </c>
      <c r="X102" s="130">
        <v>1</v>
      </c>
      <c r="Y102" s="130">
        <v>0</v>
      </c>
      <c r="Z102" s="130">
        <v>0</v>
      </c>
      <c r="AC102" s="129">
        <v>0</v>
      </c>
    </row>
    <row r="103" spans="1:29">
      <c r="A103" s="131" t="s">
        <v>1107</v>
      </c>
      <c r="B103" s="131" t="s">
        <v>1380</v>
      </c>
      <c r="C103" s="131" t="s">
        <v>1089</v>
      </c>
      <c r="D103" s="131" t="s">
        <v>1401</v>
      </c>
      <c r="E103" s="131" t="s">
        <v>1377</v>
      </c>
      <c r="F103" s="131" t="s">
        <v>1380</v>
      </c>
      <c r="M103" s="131" t="s">
        <v>1381</v>
      </c>
      <c r="N103" s="131" t="s">
        <v>1484</v>
      </c>
      <c r="O103" s="127">
        <v>44308</v>
      </c>
      <c r="P103" s="127">
        <v>44312</v>
      </c>
      <c r="Q103" s="127">
        <v>44311</v>
      </c>
      <c r="R103" s="127">
        <v>44317</v>
      </c>
      <c r="S103" s="128">
        <v>18</v>
      </c>
      <c r="T103" s="128">
        <v>19</v>
      </c>
      <c r="U103" s="128">
        <v>1</v>
      </c>
      <c r="V103" s="129">
        <v>0</v>
      </c>
      <c r="W103" s="128">
        <v>0</v>
      </c>
      <c r="X103" s="130">
        <v>1</v>
      </c>
      <c r="Y103" s="130">
        <v>0</v>
      </c>
      <c r="Z103" s="130">
        <v>0</v>
      </c>
      <c r="AC103" s="129">
        <v>0</v>
      </c>
    </row>
    <row r="104" spans="1:29">
      <c r="A104" s="131" t="s">
        <v>1107</v>
      </c>
      <c r="B104" s="131" t="s">
        <v>1383</v>
      </c>
      <c r="C104" s="131" t="s">
        <v>1089</v>
      </c>
      <c r="D104" s="131" t="s">
        <v>1402</v>
      </c>
      <c r="E104" s="131" t="s">
        <v>1382</v>
      </c>
      <c r="F104" s="131" t="s">
        <v>1383</v>
      </c>
      <c r="M104" s="131" t="s">
        <v>1384</v>
      </c>
      <c r="N104" s="131" t="s">
        <v>1484</v>
      </c>
      <c r="O104" s="127">
        <v>44308</v>
      </c>
      <c r="P104" s="127">
        <v>44310</v>
      </c>
      <c r="Q104" s="127">
        <v>44304</v>
      </c>
      <c r="R104" s="127">
        <v>44310</v>
      </c>
      <c r="S104" s="128">
        <v>17</v>
      </c>
      <c r="T104" s="128">
        <v>18</v>
      </c>
      <c r="U104" s="128">
        <v>2</v>
      </c>
      <c r="V104" s="129">
        <v>0</v>
      </c>
      <c r="W104" s="128">
        <v>0</v>
      </c>
      <c r="X104" s="130">
        <v>1</v>
      </c>
      <c r="Y104" s="130">
        <v>0</v>
      </c>
      <c r="Z104" s="130">
        <v>0</v>
      </c>
      <c r="AC104" s="129">
        <v>0</v>
      </c>
    </row>
    <row r="105" spans="1:29">
      <c r="A105" s="131" t="s">
        <v>1107</v>
      </c>
      <c r="B105" s="131" t="s">
        <v>1386</v>
      </c>
      <c r="C105" s="131" t="s">
        <v>1089</v>
      </c>
      <c r="D105" s="131" t="s">
        <v>1402</v>
      </c>
      <c r="E105" s="131" t="s">
        <v>1385</v>
      </c>
      <c r="F105" s="131" t="s">
        <v>1386</v>
      </c>
      <c r="M105" s="131" t="s">
        <v>1387</v>
      </c>
      <c r="N105" s="131" t="s">
        <v>1484</v>
      </c>
      <c r="O105" s="127">
        <v>44312</v>
      </c>
      <c r="P105" s="127">
        <v>44314</v>
      </c>
      <c r="Q105" s="127">
        <v>44311</v>
      </c>
      <c r="R105" s="127">
        <v>44317</v>
      </c>
      <c r="S105" s="128">
        <v>18</v>
      </c>
      <c r="T105" s="128">
        <v>19</v>
      </c>
      <c r="U105" s="128">
        <v>3</v>
      </c>
      <c r="V105" s="129">
        <v>0</v>
      </c>
      <c r="W105" s="128">
        <v>0</v>
      </c>
      <c r="X105" s="130">
        <v>1</v>
      </c>
      <c r="Y105" s="130">
        <v>0</v>
      </c>
      <c r="Z105" s="130">
        <v>0</v>
      </c>
      <c r="AC105" s="129">
        <v>0</v>
      </c>
    </row>
    <row r="106" spans="1:29">
      <c r="A106" s="131" t="s">
        <v>1107</v>
      </c>
      <c r="B106" s="131" t="s">
        <v>1388</v>
      </c>
      <c r="C106" s="131" t="s">
        <v>1089</v>
      </c>
      <c r="D106" s="131" t="s">
        <v>1402</v>
      </c>
      <c r="E106" s="131" t="s">
        <v>1385</v>
      </c>
      <c r="F106" s="131" t="s">
        <v>1388</v>
      </c>
      <c r="M106" s="131" t="s">
        <v>1389</v>
      </c>
      <c r="N106" s="131" t="s">
        <v>1484</v>
      </c>
      <c r="O106" s="127">
        <v>44312</v>
      </c>
      <c r="P106" s="127">
        <v>44314</v>
      </c>
      <c r="Q106" s="127">
        <v>44311</v>
      </c>
      <c r="R106" s="127">
        <v>44317</v>
      </c>
      <c r="S106" s="128">
        <v>18</v>
      </c>
      <c r="T106" s="128">
        <v>19</v>
      </c>
      <c r="U106" s="128">
        <v>3</v>
      </c>
      <c r="V106" s="129">
        <v>0</v>
      </c>
      <c r="W106" s="128">
        <v>0</v>
      </c>
      <c r="X106" s="130">
        <v>1</v>
      </c>
      <c r="Y106" s="130">
        <v>0</v>
      </c>
      <c r="Z106" s="130">
        <v>0</v>
      </c>
      <c r="AC106" s="129">
        <v>0</v>
      </c>
    </row>
    <row r="107" spans="1:29">
      <c r="A107" s="131" t="s">
        <v>1107</v>
      </c>
      <c r="B107" s="131" t="s">
        <v>1390</v>
      </c>
      <c r="C107" s="131" t="s">
        <v>1089</v>
      </c>
      <c r="D107" s="131" t="s">
        <v>1402</v>
      </c>
      <c r="E107" s="131" t="s">
        <v>1385</v>
      </c>
      <c r="F107" s="131" t="s">
        <v>1390</v>
      </c>
      <c r="M107" s="131" t="s">
        <v>1391</v>
      </c>
      <c r="N107" s="131" t="s">
        <v>1484</v>
      </c>
      <c r="O107" s="127">
        <v>44312</v>
      </c>
      <c r="P107" s="127">
        <v>44314</v>
      </c>
      <c r="Q107" s="127">
        <v>44311</v>
      </c>
      <c r="R107" s="127">
        <v>44317</v>
      </c>
      <c r="S107" s="128">
        <v>18</v>
      </c>
      <c r="T107" s="128">
        <v>19</v>
      </c>
      <c r="U107" s="128">
        <v>3</v>
      </c>
      <c r="V107" s="129">
        <v>0</v>
      </c>
      <c r="W107" s="128">
        <v>0</v>
      </c>
      <c r="X107" s="130">
        <v>1</v>
      </c>
      <c r="Y107" s="130">
        <v>0</v>
      </c>
      <c r="Z107" s="130">
        <v>0</v>
      </c>
      <c r="AC107" s="129">
        <v>0</v>
      </c>
    </row>
    <row r="108" spans="1:29">
      <c r="A108" s="131" t="s">
        <v>1107</v>
      </c>
      <c r="B108" s="131" t="s">
        <v>1392</v>
      </c>
      <c r="C108" s="131" t="s">
        <v>1089</v>
      </c>
      <c r="D108" s="131" t="s">
        <v>1402</v>
      </c>
      <c r="E108" s="131" t="s">
        <v>1385</v>
      </c>
      <c r="F108" s="131" t="s">
        <v>1392</v>
      </c>
      <c r="M108" s="131" t="s">
        <v>1393</v>
      </c>
      <c r="N108" s="131" t="s">
        <v>1484</v>
      </c>
      <c r="O108" s="127">
        <v>44315</v>
      </c>
      <c r="P108" s="127">
        <v>44315</v>
      </c>
      <c r="Q108" s="127">
        <v>44311</v>
      </c>
      <c r="R108" s="127">
        <v>44317</v>
      </c>
      <c r="S108" s="128">
        <v>18</v>
      </c>
      <c r="T108" s="128">
        <v>19</v>
      </c>
      <c r="U108" s="128">
        <v>0</v>
      </c>
      <c r="V108" s="129">
        <v>0</v>
      </c>
      <c r="W108" s="128">
        <v>0</v>
      </c>
      <c r="X108" s="130">
        <v>0</v>
      </c>
      <c r="Y108" s="130">
        <v>0</v>
      </c>
      <c r="Z108" s="130">
        <v>0</v>
      </c>
      <c r="AC108"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B3" sqref="B3"/>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94" t="s">
        <v>976</v>
      </c>
      <c r="B1" s="94" t="s">
        <v>979</v>
      </c>
      <c r="C1" s="94" t="s">
        <v>977</v>
      </c>
      <c r="D1" s="94" t="s">
        <v>1312</v>
      </c>
      <c r="E1" s="94" t="s">
        <v>975</v>
      </c>
      <c r="F1" s="94" t="s">
        <v>341</v>
      </c>
      <c r="G1" s="94" t="s">
        <v>1288</v>
      </c>
      <c r="H1" s="94" t="s">
        <v>531</v>
      </c>
      <c r="I1" s="140" t="s">
        <v>559</v>
      </c>
      <c r="J1" s="140" t="s">
        <v>560</v>
      </c>
      <c r="K1" s="140" t="s">
        <v>1313</v>
      </c>
      <c r="L1" s="94" t="s">
        <v>123</v>
      </c>
      <c r="M1" s="94" t="s">
        <v>569</v>
      </c>
      <c r="N1" s="94" t="s">
        <v>570</v>
      </c>
      <c r="O1" s="94" t="s">
        <v>571</v>
      </c>
      <c r="P1" s="94" t="s">
        <v>572</v>
      </c>
      <c r="Q1" s="94" t="s">
        <v>573</v>
      </c>
      <c r="R1" s="94" t="s">
        <v>574</v>
      </c>
      <c r="S1" s="94" t="s">
        <v>575</v>
      </c>
      <c r="T1" s="94" t="s">
        <v>576</v>
      </c>
      <c r="U1" s="94" t="s">
        <v>532</v>
      </c>
      <c r="V1" s="94" t="s">
        <v>1287</v>
      </c>
      <c r="W1" s="94" t="s">
        <v>533</v>
      </c>
      <c r="X1" s="94" t="s">
        <v>774</v>
      </c>
      <c r="Y1" s="94" t="s">
        <v>601</v>
      </c>
    </row>
    <row r="2" spans="1:25">
      <c r="B2" t="s">
        <v>1565</v>
      </c>
      <c r="C2" t="s">
        <v>1135</v>
      </c>
      <c r="D2" t="s">
        <v>1025</v>
      </c>
      <c r="E2">
        <v>1</v>
      </c>
      <c r="F2" t="s">
        <v>1025</v>
      </c>
      <c r="G2" t="s">
        <v>1291</v>
      </c>
      <c r="I2" s="83">
        <v>43724</v>
      </c>
      <c r="J2" s="83">
        <v>43791</v>
      </c>
      <c r="X2">
        <v>0</v>
      </c>
      <c r="Y2">
        <v>0</v>
      </c>
    </row>
    <row r="3" spans="1:25">
      <c r="B3" s="83">
        <v>43709</v>
      </c>
      <c r="C3" t="s">
        <v>1136</v>
      </c>
      <c r="D3" t="s">
        <v>1089</v>
      </c>
      <c r="E3">
        <v>2</v>
      </c>
      <c r="F3" t="s">
        <v>1099</v>
      </c>
      <c r="G3" t="s">
        <v>652</v>
      </c>
      <c r="I3" s="83">
        <v>43724</v>
      </c>
      <c r="J3" s="83">
        <v>43728</v>
      </c>
      <c r="X3">
        <v>0</v>
      </c>
      <c r="Y3">
        <v>0</v>
      </c>
    </row>
    <row r="4" spans="1:25">
      <c r="B4" s="83">
        <v>43799</v>
      </c>
      <c r="C4" t="s">
        <v>1137</v>
      </c>
      <c r="D4" t="s">
        <v>1106</v>
      </c>
      <c r="E4">
        <v>3</v>
      </c>
      <c r="F4" t="s">
        <v>1100</v>
      </c>
      <c r="G4" t="s">
        <v>1292</v>
      </c>
      <c r="I4" s="83">
        <v>43724</v>
      </c>
      <c r="J4" s="83">
        <v>43727</v>
      </c>
      <c r="V4" t="s">
        <v>1293</v>
      </c>
      <c r="X4" s="84">
        <v>1</v>
      </c>
      <c r="Y4" s="84">
        <v>1</v>
      </c>
    </row>
    <row r="5" spans="1:25">
      <c r="B5" s="84">
        <v>0.45</v>
      </c>
      <c r="C5" t="s">
        <v>1138</v>
      </c>
      <c r="D5" t="s">
        <v>1107</v>
      </c>
      <c r="E5">
        <v>3</v>
      </c>
      <c r="F5" t="s">
        <v>1101</v>
      </c>
      <c r="G5" t="s">
        <v>1294</v>
      </c>
      <c r="I5" s="83">
        <v>43728</v>
      </c>
      <c r="J5" s="83">
        <v>43728</v>
      </c>
      <c r="K5" s="83" t="s">
        <v>1314</v>
      </c>
      <c r="Q5" s="83"/>
      <c r="X5" s="84">
        <v>1</v>
      </c>
      <c r="Y5" s="84">
        <v>1</v>
      </c>
    </row>
    <row r="6" spans="1:25">
      <c r="B6" s="93">
        <v>0.43330000000000002</v>
      </c>
      <c r="C6" t="s">
        <v>1139</v>
      </c>
      <c r="D6" t="s">
        <v>1108</v>
      </c>
      <c r="E6">
        <v>3</v>
      </c>
      <c r="F6" t="s">
        <v>1122</v>
      </c>
      <c r="G6" t="s">
        <v>1120</v>
      </c>
      <c r="I6" s="83">
        <v>43724</v>
      </c>
      <c r="J6" s="83">
        <v>43726</v>
      </c>
      <c r="V6" t="s">
        <v>1295</v>
      </c>
      <c r="X6">
        <v>0</v>
      </c>
      <c r="Y6">
        <v>0</v>
      </c>
    </row>
    <row r="7" spans="1:25">
      <c r="C7" t="s">
        <v>1140</v>
      </c>
      <c r="D7" t="s">
        <v>1109</v>
      </c>
      <c r="E7">
        <v>3</v>
      </c>
      <c r="F7" t="s">
        <v>1123</v>
      </c>
      <c r="G7" t="s">
        <v>1121</v>
      </c>
      <c r="I7" s="83">
        <v>43727</v>
      </c>
      <c r="J7" s="83">
        <v>43728</v>
      </c>
      <c r="V7" t="s">
        <v>1295</v>
      </c>
      <c r="X7">
        <v>0</v>
      </c>
      <c r="Y7">
        <v>0</v>
      </c>
    </row>
    <row r="8" spans="1:25">
      <c r="C8" t="s">
        <v>1141</v>
      </c>
      <c r="D8" t="s">
        <v>1110</v>
      </c>
      <c r="E8">
        <v>2</v>
      </c>
      <c r="F8" t="s">
        <v>1102</v>
      </c>
      <c r="G8" t="s">
        <v>1296</v>
      </c>
      <c r="I8" s="83">
        <v>43731</v>
      </c>
      <c r="J8" s="83">
        <v>43749</v>
      </c>
      <c r="X8">
        <v>0</v>
      </c>
      <c r="Y8">
        <v>0</v>
      </c>
    </row>
    <row r="9" spans="1:25">
      <c r="C9" t="s">
        <v>1142</v>
      </c>
      <c r="D9" t="s">
        <v>1111</v>
      </c>
      <c r="E9">
        <v>3</v>
      </c>
      <c r="F9" t="s">
        <v>1103</v>
      </c>
      <c r="G9" t="s">
        <v>1297</v>
      </c>
      <c r="I9" s="83">
        <v>43731</v>
      </c>
      <c r="J9" s="83">
        <v>43735</v>
      </c>
      <c r="V9" t="s">
        <v>1298</v>
      </c>
      <c r="X9">
        <v>0</v>
      </c>
      <c r="Y9">
        <v>0</v>
      </c>
    </row>
    <row r="10" spans="1:25">
      <c r="C10" t="s">
        <v>1143</v>
      </c>
      <c r="D10" t="s">
        <v>1112</v>
      </c>
      <c r="E10">
        <v>3</v>
      </c>
      <c r="F10" t="s">
        <v>1124</v>
      </c>
      <c r="G10" t="s">
        <v>1299</v>
      </c>
      <c r="I10" s="83">
        <v>43738</v>
      </c>
      <c r="J10" s="83">
        <v>43749</v>
      </c>
      <c r="V10" t="s">
        <v>1298</v>
      </c>
      <c r="X10">
        <v>0</v>
      </c>
      <c r="Y10">
        <v>0</v>
      </c>
    </row>
    <row r="11" spans="1:25">
      <c r="D11" t="s">
        <v>1113</v>
      </c>
      <c r="E11">
        <v>2</v>
      </c>
      <c r="F11" t="s">
        <v>1104</v>
      </c>
      <c r="G11" t="s">
        <v>1300</v>
      </c>
      <c r="I11" s="83">
        <v>43752</v>
      </c>
      <c r="J11" s="83">
        <v>43777</v>
      </c>
      <c r="X11">
        <v>0</v>
      </c>
      <c r="Y11">
        <v>0</v>
      </c>
    </row>
    <row r="12" spans="1:25">
      <c r="D12" t="s">
        <v>1114</v>
      </c>
      <c r="E12">
        <v>3</v>
      </c>
      <c r="F12" t="s">
        <v>1105</v>
      </c>
      <c r="G12" t="s">
        <v>1301</v>
      </c>
      <c r="I12" s="83">
        <v>43752</v>
      </c>
      <c r="J12" s="83">
        <v>43770</v>
      </c>
      <c r="X12">
        <v>0</v>
      </c>
      <c r="Y12">
        <v>0</v>
      </c>
    </row>
    <row r="13" spans="1:25">
      <c r="D13" t="s">
        <v>1115</v>
      </c>
      <c r="E13">
        <v>3</v>
      </c>
      <c r="F13" t="s">
        <v>1125</v>
      </c>
      <c r="G13" t="s">
        <v>1302</v>
      </c>
      <c r="I13" s="83">
        <v>43773</v>
      </c>
      <c r="J13" s="83">
        <v>43777</v>
      </c>
      <c r="V13" t="s">
        <v>1303</v>
      </c>
      <c r="X13">
        <v>0</v>
      </c>
      <c r="Y13">
        <v>0</v>
      </c>
    </row>
    <row r="14" spans="1:25">
      <c r="D14" t="s">
        <v>1116</v>
      </c>
      <c r="E14">
        <v>2</v>
      </c>
      <c r="F14" t="s">
        <v>1126</v>
      </c>
      <c r="G14" t="s">
        <v>1304</v>
      </c>
      <c r="I14" s="83">
        <v>43780</v>
      </c>
      <c r="J14" s="83">
        <v>43791</v>
      </c>
      <c r="X14">
        <v>0</v>
      </c>
      <c r="Y14">
        <v>0</v>
      </c>
    </row>
    <row r="15" spans="1:25">
      <c r="D15" t="s">
        <v>1117</v>
      </c>
      <c r="E15">
        <v>3</v>
      </c>
      <c r="F15" t="s">
        <v>1127</v>
      </c>
      <c r="G15" t="s">
        <v>1305</v>
      </c>
      <c r="I15" s="83">
        <v>43780</v>
      </c>
      <c r="J15" s="83">
        <v>43784</v>
      </c>
      <c r="V15" t="s">
        <v>1306</v>
      </c>
      <c r="X15">
        <v>0</v>
      </c>
      <c r="Y15">
        <v>0</v>
      </c>
    </row>
    <row r="16" spans="1:25">
      <c r="D16" t="s">
        <v>1118</v>
      </c>
      <c r="E16">
        <v>3</v>
      </c>
      <c r="F16" t="s">
        <v>1128</v>
      </c>
      <c r="G16" t="s">
        <v>1307</v>
      </c>
      <c r="I16" s="83">
        <v>43787</v>
      </c>
      <c r="J16" s="83">
        <v>43789</v>
      </c>
      <c r="K16" s="83" t="s">
        <v>1315</v>
      </c>
      <c r="V16" t="s">
        <v>1308</v>
      </c>
      <c r="X16">
        <v>0</v>
      </c>
      <c r="Y16">
        <v>0</v>
      </c>
    </row>
    <row r="17" spans="4:25">
      <c r="D17" t="s">
        <v>1119</v>
      </c>
      <c r="E17">
        <v>3</v>
      </c>
      <c r="F17" t="s">
        <v>1129</v>
      </c>
      <c r="G17" t="s">
        <v>1309</v>
      </c>
      <c r="I17" s="83">
        <v>43790</v>
      </c>
      <c r="J17" s="83">
        <v>43791</v>
      </c>
      <c r="V17" t="s">
        <v>1310</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차태미</cp:lastModifiedBy>
  <cp:lastPrinted>2021-01-01T13:36:29Z</cp:lastPrinted>
  <dcterms:created xsi:type="dcterms:W3CDTF">2018-02-18T09:45:14Z</dcterms:created>
  <dcterms:modified xsi:type="dcterms:W3CDTF">2021-03-24T05:15:33Z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3fa2ac9e-ac2d-4cf2-9e5e-b7e1690eafd9</vt:lpwstr>
  </property>
</Properties>
</file>